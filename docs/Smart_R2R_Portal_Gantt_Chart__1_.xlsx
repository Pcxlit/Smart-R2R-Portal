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Schedule" sheetId="1" state="visible" r:id="rId3"/>
    <sheet name="About" sheetId="2" state="visible" r:id="rId4"/>
  </sheets>
  <definedNames>
    <definedName function="false" hidden="false" localSheetId="0" name="_xlnm.Print_Titles" vbProcedure="false">ProjectSchedule!$4:$6</definedName>
    <definedName function="false" hidden="false" name="valuevx" vbProcedure="false">42.314159</definedName>
    <definedName function="false" hidden="false" localSheetId="0" name="task_end" vbProcedure="false">ProjectSchedule!$F1</definedName>
    <definedName function="false" hidden="false" localSheetId="0" name="task_progress" vbProcedure="false">ProjectSchedule!$D1</definedName>
    <definedName function="false" hidden="false" localSheetId="0" name="task_start" vbProcedure="false">ProjectSchedule!$E1</definedName>
    <definedName function="false" hidden="false" localSheetId="0" name="today" vbProcedure="false">ProjectSchedule!$E$3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H6" authorId="0">
      <text>
        <r>
          <rPr>
            <sz val="10"/>
            <rFont val="Arial"/>
            <family val="2"/>
          </rPr>
          <t xml:space="preserve">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<sst xmlns="http://schemas.openxmlformats.org/spreadsheetml/2006/main" count="63" uniqueCount="49">
  <si>
    <t xml:space="preserve">PROJECT TITLE</t>
  </si>
  <si>
    <t xml:space="preserve">Smart R2R Guide &amp; Reparability Portal (RepairFlow)</t>
  </si>
  <si>
    <t xml:space="preserve">Project Start:</t>
  </si>
  <si>
    <t xml:space="preserve">Arnav Gupta, Punya Chhabra, Kaushik Jindal</t>
  </si>
  <si>
    <t xml:space="preserve">Today:</t>
  </si>
  <si>
    <t xml:space="preserve">Display Week:</t>
  </si>
  <si>
    <t xml:space="preserve">TASK</t>
  </si>
  <si>
    <t xml:space="preserve">ASSIGNED
TO</t>
  </si>
  <si>
    <t xml:space="preserve">PROGRESS</t>
  </si>
  <si>
    <t xml:space="preserve">START</t>
  </si>
  <si>
    <t xml:space="preserve">END</t>
  </si>
  <si>
    <t xml:space="preserve">DAYS</t>
  </si>
  <si>
    <t xml:space="preserve">Proposal &amp; Planning</t>
  </si>
  <si>
    <t xml:space="preserve">Finalize project topic (Automated Right to Repair Schematic Finder)</t>
  </si>
  <si>
    <t xml:space="preserve">Team</t>
  </si>
  <si>
    <t xml:space="preserve">Research system architecture (ingestion, storage/indexing, interface)</t>
  </si>
  <si>
    <t xml:space="preserve">Draft presentation deck (Intro, Motivation, Problem, Solution)</t>
  </si>
  <si>
    <t xml:space="preserve">Apply RepairFlow template &amp; rebrand deck</t>
  </si>
  <si>
    <t xml:space="preserve">Refine proposed-solution feature cards (Reparability Profile, RAG)</t>
  </si>
  <si>
    <t xml:space="preserve">System Design &amp; Diagrams</t>
  </si>
  <si>
    <t xml:space="preserve">DFD Level 0 - context diagram</t>
  </si>
  <si>
    <t xml:space="preserve">Arnav Gupta,Kaushik Jindal</t>
  </si>
  <si>
    <t xml:space="preserve">Use Case Diagram</t>
  </si>
  <si>
    <t xml:space="preserve">Punya</t>
  </si>
  <si>
    <t xml:space="preserve">DFD Level 1 &amp; Level 2 (core processes, tracking flow)</t>
  </si>
  <si>
    <t xml:space="preserve">Group meeting - progress review &amp; alignment</t>
  </si>
  <si>
    <t xml:space="preserve">ER diagram </t>
  </si>
  <si>
    <t xml:space="preserve">Activity diagram + basic frontend exploration</t>
  </si>
  <si>
    <t xml:space="preserve">Code</t>
  </si>
  <si>
    <t xml:space="preserve">Rag prototype</t>
  </si>
  <si>
    <t xml:space="preserve">CI/CD pipeline</t>
  </si>
  <si>
    <t xml:space="preserve">Rag Extended</t>
  </si>
  <si>
    <t xml:space="preserve">Project prototype (.html file)</t>
  </si>
  <si>
    <t xml:space="preserve">Arnav Gupta</t>
  </si>
  <si>
    <t xml:space="preserve">Insert new rows ABOVE this one</t>
  </si>
  <si>
    <t xml:space="preserve">SIMPLE GANTT CHART by Vertex42.com</t>
  </si>
  <si>
    <t xml:space="preserve">https://www.vertex42.com/ExcelTemplates/simple-gantt-chart.html</t>
  </si>
  <si>
    <t xml:space="preserve">© 2018-2019 Vertex42 LLC</t>
  </si>
  <si>
    <t xml:space="preserve">About This Template</t>
  </si>
  <si>
    <t xml:space="preserve">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</si>
  <si>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 xml:space="preserve">Additional Help</t>
  </si>
  <si>
    <t xml:space="preserve">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</si>
  <si>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 xml:space="preserve">How to Use the Simple Gantt Chart</t>
  </si>
  <si>
    <t xml:space="preserve">More Project Management Templates</t>
  </si>
  <si>
    <t xml:space="preserve">Visit Vertex42.com to download other project management templates, including different types of project schedules, Gantt charts, tasks lists, etc.</t>
  </si>
  <si>
    <t xml:space="preserve">Project Management Templates</t>
  </si>
  <si>
    <t xml:space="preserve">About Vertex42</t>
  </si>
  <si>
    <t xml:space="preserve">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</si>
  <si>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 xml:space="preserve">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</si>
</sst>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numFmts count="7">
    <numFmt numFmtId="164" formatCode="General"/>
    <numFmt numFmtId="165" formatCode="ddd&quot;, &quot;m/d/yyyy"/>
    <numFmt numFmtId="166" formatCode="mmm\ d&quot;, &quot;yyyy"/>
    <numFmt numFmtId="167" formatCode="d"/>
    <numFmt numFmtId="168" formatCode="0%"/>
    <numFmt numFmtId="169" formatCode="m/d/yy;@"/>
    <numFmt numFmtId="170" formatCode="m/d/yyyy"/>
  </numFmts>
  <fonts count="31">
    <font>
      <sz val="11"/>
      <color theme="1"/>
      <name val="Calibri"/>
      <family val="2"/>
      <charset val="1"/>
    </font>
    <font>
      <sz val="10"/>
      <name val="Arial"/>
      <family val="0"/>
    </font>
    <font>
      <sz val="10"/>
      <name val="Arial"/>
      <family val="0"/>
    </font>
    <font>
      <sz val="10"/>
      <name val="Arial"/>
      <family val="0"/>
    </font>
    <font>
      <b val="true"/>
      <sz val="22"/>
      <color theme="1" tint="0.3498"/>
      <name val="Calibri"/>
      <family val="2"/>
      <charset val="1"/>
    </font>
    <font>
      <b val="true"/>
      <sz val="20"/>
      <color theme="4" tint="-0.25"/>
      <name val="Calibri"/>
      <family val="2"/>
      <charset val="1"/>
    </font>
    <font>
      <sz val="10"/>
      <name val="Calibri"/>
      <family val="2"/>
      <charset val="1"/>
    </font>
    <font>
      <sz val="10"/>
      <color theme="0" tint="-0.5"/>
      <name val="Calibri"/>
      <family val="2"/>
      <charset val="1"/>
    </font>
    <font>
      <u val="single"/>
      <sz val="9"/>
      <color theme="4" tint="-0.25"/>
      <name val="Arial"/>
      <family val="2"/>
      <charset val="1"/>
    </font>
    <font>
      <sz val="14"/>
      <color theme="1"/>
      <name val="Calibri"/>
      <family val="2"/>
      <charset val="1"/>
    </font>
    <font>
      <sz val="9"/>
      <name val="Calibri"/>
      <family val="2"/>
      <charset val="1"/>
    </font>
    <font>
      <sz val="16"/>
      <color theme="1"/>
      <name val="Calibri"/>
      <family val="2"/>
      <charset val="1"/>
    </font>
    <font>
      <b val="true"/>
      <sz val="9"/>
      <color theme="0"/>
      <name val="Calibri"/>
      <family val="2"/>
      <charset val="1"/>
    </font>
    <font>
      <sz val="8"/>
      <color theme="0"/>
      <name val="Calibri"/>
      <family val="2"/>
      <charset val="1"/>
    </font>
    <font>
      <sz val="11"/>
      <name val="Calibri"/>
      <family val="2"/>
      <charset val="1"/>
    </font>
    <font>
      <b val="true"/>
      <sz val="11"/>
      <color theme="1"/>
      <name val="Calibri"/>
      <family val="2"/>
      <charset val="1"/>
    </font>
    <font>
      <i val="true"/>
      <sz val="9"/>
      <color theme="1"/>
      <name val="Calibri"/>
      <family val="2"/>
      <charset val="1"/>
    </font>
    <font>
      <sz val="10"/>
      <color theme="1" tint="0.4998"/>
      <name val="Calibri"/>
      <family val="2"/>
      <charset val="1"/>
    </font>
    <font>
      <b val="true"/>
      <sz val="11"/>
      <color theme="1" tint="0.4998"/>
      <name val="Calibri"/>
      <family val="2"/>
      <charset val="1"/>
    </font>
    <font>
      <sz val="11"/>
      <color theme="0"/>
      <name val="Calibri"/>
      <family val="2"/>
      <charset val="1"/>
    </font>
    <font>
      <sz val="9"/>
      <color theme="1" tint="0.4998"/>
      <name val="Arial"/>
      <family val="2"/>
      <charset val="1"/>
    </font>
    <font>
      <sz val="10"/>
      <color theme="1" tint="0.4998"/>
      <name val="Arial"/>
      <family val="2"/>
      <charset val="1"/>
    </font>
    <font>
      <sz val="10"/>
      <name val="Arial"/>
      <family val="2"/>
    </font>
    <font>
      <b val="true"/>
      <sz val="10"/>
      <name val="Calibri"/>
      <family val="2"/>
      <charset val="1"/>
    </font>
    <font>
      <b val="true"/>
      <sz val="12"/>
      <color theme="1" tint="0.3498"/>
      <name val="Calibri"/>
      <family val="2"/>
      <charset val="1"/>
    </font>
    <font>
      <sz val="11"/>
      <color theme="1" tint="0.4998"/>
      <name val="Calibri"/>
      <family val="2"/>
      <charset val="1"/>
    </font>
    <font>
      <sz val="10"/>
      <color theme="1" tint="0.3498"/>
      <name val="Calibri"/>
      <family val="2"/>
      <charset val="1"/>
    </font>
    <font>
      <sz val="20"/>
      <name val="Calibri"/>
      <family val="2"/>
      <charset val="1"/>
    </font>
    <font>
      <b val="true"/>
      <sz val="16"/>
      <color theme="4" tint="-0.25"/>
      <name val="Calibri"/>
      <family val="2"/>
      <charset val="1"/>
    </font>
    <font>
      <sz val="11"/>
      <color rgb="FF1D2129"/>
      <name val="Calibri"/>
      <family val="2"/>
      <charset val="1"/>
    </font>
    <font>
      <u val="single"/>
      <sz val="11"/>
      <color rgb="FF0000FF"/>
      <name val="Arial"/>
      <family val="2"/>
      <charset val="1"/>
    </font>
  </fonts>
  <fills count="16">
    <fill>
      <patternFill patternType="none"/>
    </fill>
    <fill>
      <patternFill patternType="gray125"/>
    </fill>
    <fill>
      <patternFill patternType="solid">
        <fgColor theme="0" tint="-0.15"/>
        <bgColor rgb="FFE6E0EC"/>
      </patternFill>
    </fill>
    <fill>
      <patternFill patternType="solid">
        <fgColor theme="1" tint="0.3498"/>
        <bgColor rgb="FF376092"/>
      </patternFill>
    </fill>
    <fill>
      <patternFill patternType="solid">
        <fgColor theme="4" tint="0.5998"/>
        <bgColor rgb="FFB7DEE8"/>
      </patternFill>
    </fill>
    <fill>
      <patternFill patternType="solid">
        <fgColor theme="4" tint="0.7998"/>
        <bgColor rgb="FFDBEEF4"/>
      </patternFill>
    </fill>
    <fill>
      <patternFill patternType="solid">
        <fgColor theme="5" tint="0.5998"/>
        <bgColor rgb="FFCCC1DA"/>
      </patternFill>
    </fill>
    <fill>
      <patternFill patternType="solid">
        <fgColor theme="5" tint="0.7998"/>
        <bgColor rgb="FFE6E0EC"/>
      </patternFill>
    </fill>
    <fill>
      <patternFill patternType="solid">
        <fgColor theme="6" tint="0.5998"/>
        <bgColor rgb="FFD9D9D9"/>
      </patternFill>
    </fill>
    <fill>
      <patternFill patternType="solid">
        <fgColor theme="6" tint="0.7998"/>
        <bgColor rgb="FFF2F2F2"/>
      </patternFill>
    </fill>
    <fill>
      <patternFill patternType="solid">
        <fgColor theme="0" tint="-0.35"/>
        <bgColor rgb="FFCCC1DA"/>
      </patternFill>
    </fill>
    <fill>
      <patternFill patternType="solid">
        <fgColor theme="7" tint="0.5998"/>
        <bgColor rgb="FFB9CDE5"/>
      </patternFill>
    </fill>
    <fill>
      <patternFill patternType="solid">
        <fgColor theme="7" tint="0.7998"/>
        <bgColor rgb="FFDCE6F2"/>
      </patternFill>
    </fill>
    <fill>
      <patternFill patternType="solid">
        <fgColor theme="8" tint="0.5998"/>
        <bgColor rgb="FFB9CDE5"/>
      </patternFill>
    </fill>
    <fill>
      <patternFill patternType="solid">
        <fgColor theme="8" tint="0.7998"/>
        <bgColor rgb="FFDCE6F2"/>
      </patternFill>
    </fill>
    <fill>
      <patternFill patternType="solid">
        <fgColor theme="0" tint="-0.05"/>
        <bgColor rgb="FFEBF1DE"/>
      </patternFill>
    </fill>
  </fills>
  <borders count="9">
    <border diagonalUp="false" diagonalDown="false">
      <left/>
      <right/>
      <top/>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theme="0" tint="-0.35"/>
      </left>
      <right style="thin">
        <color theme="0" tint="-0.35"/>
      </right>
      <top style="thin">
        <color theme="0" tint="-0.35"/>
      </top>
      <bottom/>
      <diagonal/>
    </border>
    <border diagonalUp="false" diagonalDown="false">
      <left style="thin">
        <color theme="0" tint="-0.35"/>
      </left>
      <right/>
      <top/>
      <bottom/>
      <diagonal/>
    </border>
    <border diagonalUp="false" diagonalDown="false">
      <left/>
      <right style="thin">
        <color theme="0" tint="-0.35"/>
      </right>
      <top/>
      <bottom/>
      <diagonal/>
    </border>
    <border diagonalUp="false" diagonalDown="false">
      <left/>
      <right/>
      <top style="thin">
        <color theme="0" tint="-0.35"/>
      </top>
      <bottom/>
      <diagonal/>
    </border>
    <border diagonalUp="false" diagonalDown="false">
      <left style="thin">
        <color theme="0" tint="-0.35"/>
      </left>
      <right style="thin">
        <color theme="0" tint="-0.35"/>
      </right>
      <top/>
      <bottom style="medium">
        <color theme="0" tint="-0.15"/>
      </bottom>
      <diagonal/>
    </border>
    <border diagonalUp="false" diagonalDown="false">
      <left/>
      <right/>
      <top style="medium">
        <color theme="0" tint="-0.15"/>
      </top>
      <bottom style="medium">
        <color theme="0" tint="-0.15"/>
      </bottom>
      <diagonal/>
    </border>
    <border diagonalUp="false" diagonalDown="false">
      <left style="thin">
        <color theme="0" tint="-0.15"/>
      </left>
      <right style="thin">
        <color theme="0" tint="-0.15"/>
      </right>
      <top style="medium">
        <color theme="0" tint="-0.15"/>
      </top>
      <bottom style="medium">
        <color theme="0" tint="-0.1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6" fontId="0" fillId="2" borderId="2" xfId="0" applyFont="false" applyBorder="true" applyAlignment="true" applyProtection="false">
      <alignment horizontal="left" vertical="center" textRotation="0" wrapText="true" indent="1" shrinkToFit="false"/>
      <protection locked="true" hidden="false"/>
    </xf>
    <xf numFmtId="167" fontId="10" fillId="2" borderId="3" xfId="0" applyFont="true" applyBorder="true" applyAlignment="true" applyProtection="false">
      <alignment horizontal="center" vertical="center" textRotation="0" wrapText="false" indent="0" shrinkToFit="false"/>
      <protection locked="true" hidden="false"/>
    </xf>
    <xf numFmtId="167" fontId="10" fillId="2" borderId="0" xfId="0" applyFont="true" applyBorder="false" applyAlignment="true" applyProtection="false">
      <alignment horizontal="center" vertical="center" textRotation="0" wrapText="false" indent="0" shrinkToFit="false"/>
      <protection locked="true" hidden="false"/>
    </xf>
    <xf numFmtId="167" fontId="10" fillId="2" borderId="4"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right" vertical="center" textRotation="0" wrapText="false" indent="0" shrinkToFit="false"/>
      <protection locked="true" hidden="false"/>
    </xf>
    <xf numFmtId="164" fontId="12" fillId="3" borderId="5" xfId="0" applyFont="true" applyBorder="true" applyAlignment="true" applyProtection="false">
      <alignment horizontal="left" vertical="center" textRotation="0" wrapText="false" indent="1" shrinkToFit="false"/>
      <protection locked="true" hidden="false"/>
    </xf>
    <xf numFmtId="164" fontId="12" fillId="3" borderId="5" xfId="0" applyFont="true" applyBorder="true" applyAlignment="true" applyProtection="false">
      <alignment horizontal="center" vertical="center" textRotation="0" wrapText="true" indent="0" shrinkToFit="false"/>
      <protection locked="true" hidden="false"/>
    </xf>
    <xf numFmtId="164" fontId="13" fillId="3" borderId="6" xfId="0" applyFont="true" applyBorder="true" applyAlignment="true" applyProtection="false">
      <alignment horizontal="center" vertical="center" textRotation="0" wrapText="false" indent="0" shrinkToFit="true"/>
      <protection locked="true" hidden="false"/>
    </xf>
    <xf numFmtId="164" fontId="0" fillId="0" borderId="7" xfId="0" applyFont="false" applyBorder="true" applyAlignment="true" applyProtection="false">
      <alignment horizontal="left" vertical="center" textRotation="0" wrapText="false" indent="1" shrinkToFit="false"/>
      <protection locked="true" hidden="false"/>
    </xf>
    <xf numFmtId="164" fontId="0" fillId="0" borderId="7" xfId="0" applyFont="false" applyBorder="true" applyAlignment="true" applyProtection="false">
      <alignment horizontal="center" vertical="center" textRotation="0" wrapText="false" indent="0" shrinkToFit="false"/>
      <protection locked="true" hidden="false"/>
    </xf>
    <xf numFmtId="168" fontId="14" fillId="0" borderId="7" xfId="0" applyFont="true" applyBorder="true" applyAlignment="true" applyProtection="false">
      <alignment horizontal="center" vertical="center" textRotation="0" wrapText="false" indent="0" shrinkToFit="false"/>
      <protection locked="true" hidden="false"/>
    </xf>
    <xf numFmtId="169" fontId="0" fillId="0" borderId="7" xfId="0" applyFont="false" applyBorder="true" applyAlignment="true" applyProtection="false">
      <alignment horizontal="center" vertical="center" textRotation="0" wrapText="false" indent="0" shrinkToFit="false"/>
      <protection locked="true" hidden="false"/>
    </xf>
    <xf numFmtId="169" fontId="14" fillId="0" borderId="7" xfId="0" applyFont="true" applyBorder="true" applyAlignment="true" applyProtection="false">
      <alignment horizontal="center" vertical="center" textRotation="0" wrapText="false" indent="0"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4" fontId="0" fillId="0" borderId="8"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5" fillId="4" borderId="7" xfId="0" applyFont="true" applyBorder="true" applyAlignment="true" applyProtection="false">
      <alignment horizontal="left" vertical="center" textRotation="0" wrapText="false" indent="1" shrinkToFit="false"/>
      <protection locked="true" hidden="false"/>
    </xf>
    <xf numFmtId="164" fontId="15" fillId="4" borderId="7" xfId="0" applyFont="true" applyBorder="true" applyAlignment="true" applyProtection="false">
      <alignment horizontal="center" vertical="center" textRotation="0" wrapText="false" indent="0" shrinkToFit="false"/>
      <protection locked="true" hidden="false"/>
    </xf>
    <xf numFmtId="168" fontId="14" fillId="4" borderId="7" xfId="0" applyFont="true" applyBorder="true" applyAlignment="true" applyProtection="false">
      <alignment horizontal="center" vertical="center" textRotation="0" wrapText="false" indent="0" shrinkToFit="false"/>
      <protection locked="true" hidden="false"/>
    </xf>
    <xf numFmtId="169" fontId="0" fillId="4" borderId="7" xfId="0" applyFont="false" applyBorder="true" applyAlignment="true" applyProtection="false">
      <alignment horizontal="center" vertical="center" textRotation="0" wrapText="false" indent="0" shrinkToFit="false"/>
      <protection locked="true" hidden="false"/>
    </xf>
    <xf numFmtId="169" fontId="14" fillId="4" borderId="7" xfId="0" applyFont="true" applyBorder="true" applyAlignment="true" applyProtection="false">
      <alignment horizontal="center" vertical="center" textRotation="0" wrapText="false" indent="0" shrinkToFit="false"/>
      <protection locked="true" hidden="false"/>
    </xf>
    <xf numFmtId="164" fontId="0" fillId="5" borderId="7" xfId="0" applyFont="true" applyBorder="true" applyAlignment="true" applyProtection="false">
      <alignment horizontal="left" vertical="center" textRotation="0" wrapText="false" indent="2" shrinkToFit="false"/>
      <protection locked="true" hidden="false"/>
    </xf>
    <xf numFmtId="164" fontId="0" fillId="5" borderId="7" xfId="0" applyFont="true" applyBorder="true" applyAlignment="true" applyProtection="false">
      <alignment horizontal="center" vertical="center" textRotation="0" wrapText="false" indent="0" shrinkToFit="false"/>
      <protection locked="true" hidden="false"/>
    </xf>
    <xf numFmtId="168" fontId="14" fillId="5" borderId="7" xfId="0" applyFont="true" applyBorder="true" applyAlignment="true" applyProtection="false">
      <alignment horizontal="center" vertical="center" textRotation="0" wrapText="false" indent="0" shrinkToFit="false"/>
      <protection locked="true" hidden="false"/>
    </xf>
    <xf numFmtId="169" fontId="0" fillId="5" borderId="7" xfId="0" applyFont="false" applyBorder="true" applyAlignment="true" applyProtection="false">
      <alignment horizontal="center" vertical="center" textRotation="0" wrapText="false" indent="0" shrinkToFit="false"/>
      <protection locked="true" hidden="false"/>
    </xf>
    <xf numFmtId="169" fontId="14" fillId="5" borderId="7" xfId="0" applyFont="true" applyBorder="true" applyAlignment="true" applyProtection="false">
      <alignment horizontal="center" vertical="center" textRotation="0" wrapText="false" indent="0" shrinkToFit="false"/>
      <protection locked="true" hidden="false"/>
    </xf>
    <xf numFmtId="164" fontId="0" fillId="0" borderId="8" xfId="0" applyFont="false" applyBorder="true" applyAlignment="true" applyProtection="false">
      <alignment horizontal="right" vertical="center" textRotation="0" wrapText="false" indent="0" shrinkToFit="false"/>
      <protection locked="true" hidden="false"/>
    </xf>
    <xf numFmtId="164" fontId="15" fillId="6" borderId="7" xfId="0" applyFont="true" applyBorder="true" applyAlignment="true" applyProtection="false">
      <alignment horizontal="left" vertical="center" textRotation="0" wrapText="false" indent="1" shrinkToFit="false"/>
      <protection locked="true" hidden="false"/>
    </xf>
    <xf numFmtId="164" fontId="15" fillId="6" borderId="7" xfId="0" applyFont="true" applyBorder="true" applyAlignment="true" applyProtection="false">
      <alignment horizontal="center" vertical="center" textRotation="0" wrapText="false" indent="0" shrinkToFit="false"/>
      <protection locked="true" hidden="false"/>
    </xf>
    <xf numFmtId="168" fontId="14" fillId="6" borderId="7" xfId="0" applyFont="true" applyBorder="true" applyAlignment="true" applyProtection="false">
      <alignment horizontal="center" vertical="center" textRotation="0" wrapText="false" indent="0" shrinkToFit="false"/>
      <protection locked="true" hidden="false"/>
    </xf>
    <xf numFmtId="169" fontId="0" fillId="6" borderId="7" xfId="0" applyFont="false" applyBorder="true" applyAlignment="true" applyProtection="false">
      <alignment horizontal="center" vertical="center" textRotation="0" wrapText="false" indent="0" shrinkToFit="false"/>
      <protection locked="true" hidden="false"/>
    </xf>
    <xf numFmtId="169" fontId="14" fillId="6" borderId="7" xfId="0" applyFont="true" applyBorder="true" applyAlignment="true" applyProtection="false">
      <alignment horizontal="center" vertical="center" textRotation="0" wrapText="false" indent="0" shrinkToFit="false"/>
      <protection locked="true" hidden="false"/>
    </xf>
    <xf numFmtId="164" fontId="0" fillId="7" borderId="7" xfId="0" applyFont="true" applyBorder="true" applyAlignment="true" applyProtection="false">
      <alignment horizontal="left" vertical="center" textRotation="0" wrapText="false" indent="2" shrinkToFit="false"/>
      <protection locked="true" hidden="false"/>
    </xf>
    <xf numFmtId="164" fontId="0" fillId="7" borderId="7"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9" fontId="0" fillId="7" borderId="7" xfId="0" applyFont="false" applyBorder="true" applyAlignment="true" applyProtection="false">
      <alignment horizontal="center" vertical="center" textRotation="0" wrapText="false" indent="0" shrinkToFit="false"/>
      <protection locked="true" hidden="false"/>
    </xf>
    <xf numFmtId="169" fontId="14" fillId="7" borderId="7" xfId="0" applyFont="true" applyBorder="true" applyAlignment="true" applyProtection="false">
      <alignment horizontal="center" vertical="center" textRotation="0" wrapText="false" indent="0" shrinkToFit="false"/>
      <protection locked="true" hidden="false"/>
    </xf>
    <xf numFmtId="164" fontId="15" fillId="8" borderId="7" xfId="0" applyFont="true" applyBorder="true" applyAlignment="true" applyProtection="false">
      <alignment horizontal="left" vertical="center" textRotation="0" wrapText="false" indent="1" shrinkToFit="false"/>
      <protection locked="true" hidden="false"/>
    </xf>
    <xf numFmtId="164" fontId="15" fillId="8" borderId="7" xfId="0" applyFont="true" applyBorder="true" applyAlignment="true" applyProtection="false">
      <alignment horizontal="center" vertical="center" textRotation="0" wrapText="false" indent="0" shrinkToFit="false"/>
      <protection locked="true" hidden="false"/>
    </xf>
    <xf numFmtId="168" fontId="14" fillId="8" borderId="7" xfId="0" applyFont="true" applyBorder="true" applyAlignment="true" applyProtection="false">
      <alignment horizontal="center" vertical="center" textRotation="0" wrapText="false" indent="0" shrinkToFit="false"/>
      <protection locked="true" hidden="false"/>
    </xf>
    <xf numFmtId="169" fontId="0" fillId="8" borderId="7" xfId="0" applyFont="false" applyBorder="true" applyAlignment="true" applyProtection="false">
      <alignment horizontal="center" vertical="center" textRotation="0" wrapText="false" indent="0" shrinkToFit="false"/>
      <protection locked="true" hidden="false"/>
    </xf>
    <xf numFmtId="169" fontId="14" fillId="8" borderId="7" xfId="0" applyFont="true" applyBorder="true" applyAlignment="true" applyProtection="false">
      <alignment horizontal="center" vertical="center" textRotation="0" wrapText="false" indent="0" shrinkToFit="false"/>
      <protection locked="true" hidden="false"/>
    </xf>
    <xf numFmtId="164" fontId="0" fillId="9" borderId="7" xfId="0" applyFont="true" applyBorder="true" applyAlignment="true" applyProtection="false">
      <alignment horizontal="left" vertical="center" textRotation="0" wrapText="false" indent="2" shrinkToFit="false"/>
      <protection locked="true" hidden="false"/>
    </xf>
    <xf numFmtId="164" fontId="0" fillId="9" borderId="7" xfId="0" applyFont="true" applyBorder="true" applyAlignment="true" applyProtection="false">
      <alignment horizontal="center" vertical="center" textRotation="0" wrapText="false" indent="0" shrinkToFit="false"/>
      <protection locked="true" hidden="false"/>
    </xf>
    <xf numFmtId="168" fontId="14" fillId="9" borderId="7" xfId="0" applyFont="true" applyBorder="true" applyAlignment="true" applyProtection="false">
      <alignment horizontal="center" vertical="center" textRotation="0" wrapText="false" indent="0" shrinkToFit="false"/>
      <protection locked="true" hidden="false"/>
    </xf>
    <xf numFmtId="169" fontId="0" fillId="9" borderId="7" xfId="0" applyFont="false" applyBorder="true" applyAlignment="true" applyProtection="false">
      <alignment horizontal="center" vertical="center" textRotation="0" wrapText="false" indent="0" shrinkToFit="false"/>
      <protection locked="true" hidden="false"/>
    </xf>
    <xf numFmtId="169" fontId="14" fillId="9" borderId="7" xfId="0" applyFont="true" applyBorder="true" applyAlignment="true" applyProtection="false">
      <alignment horizontal="center" vertical="center" textRotation="0" wrapText="false" indent="0" shrinkToFit="false"/>
      <protection locked="true" hidden="false"/>
    </xf>
    <xf numFmtId="164" fontId="0" fillId="10" borderId="8" xfId="0" applyFont="false" applyBorder="true" applyAlignment="true" applyProtection="false">
      <alignment horizontal="general" vertical="center" textRotation="0" wrapText="false" indent="0" shrinkToFit="false"/>
      <protection locked="true" hidden="false"/>
    </xf>
    <xf numFmtId="164" fontId="15" fillId="11" borderId="7" xfId="0" applyFont="true" applyBorder="true" applyAlignment="true" applyProtection="false">
      <alignment horizontal="left" vertical="center" textRotation="0" wrapText="false" indent="1" shrinkToFit="false"/>
      <protection locked="true" hidden="false"/>
    </xf>
    <xf numFmtId="164" fontId="15" fillId="11" borderId="7" xfId="0" applyFont="true" applyBorder="true" applyAlignment="true" applyProtection="false">
      <alignment horizontal="center" vertical="center" textRotation="0" wrapText="false" indent="0" shrinkToFit="false"/>
      <protection locked="true" hidden="false"/>
    </xf>
    <xf numFmtId="168" fontId="14" fillId="11" borderId="7" xfId="0" applyFont="true" applyBorder="true" applyAlignment="true" applyProtection="false">
      <alignment horizontal="center" vertical="center" textRotation="0" wrapText="false" indent="0" shrinkToFit="false"/>
      <protection locked="true" hidden="false"/>
    </xf>
    <xf numFmtId="169" fontId="0" fillId="11" borderId="7" xfId="0" applyFont="false" applyBorder="true" applyAlignment="true" applyProtection="false">
      <alignment horizontal="center" vertical="center" textRotation="0" wrapText="false" indent="0" shrinkToFit="false"/>
      <protection locked="true" hidden="false"/>
    </xf>
    <xf numFmtId="169" fontId="14" fillId="11" borderId="7" xfId="0" applyFont="true" applyBorder="true" applyAlignment="true" applyProtection="false">
      <alignment horizontal="center" vertical="center" textRotation="0" wrapText="false" indent="0" shrinkToFit="false"/>
      <protection locked="true" hidden="false"/>
    </xf>
    <xf numFmtId="164" fontId="0" fillId="12" borderId="7" xfId="0" applyFont="false" applyBorder="true" applyAlignment="true" applyProtection="false">
      <alignment horizontal="left" vertical="center" textRotation="0" wrapText="false" indent="2" shrinkToFit="false"/>
      <protection locked="true" hidden="false"/>
    </xf>
    <xf numFmtId="164" fontId="0" fillId="12" borderId="7" xfId="0" applyFont="false" applyBorder="true" applyAlignment="true" applyProtection="false">
      <alignment horizontal="center" vertical="center" textRotation="0" wrapText="false" indent="0" shrinkToFit="false"/>
      <protection locked="true" hidden="false"/>
    </xf>
    <xf numFmtId="168" fontId="14" fillId="12" borderId="7" xfId="0" applyFont="true" applyBorder="true" applyAlignment="true" applyProtection="false">
      <alignment horizontal="center" vertical="center" textRotation="0" wrapText="false" indent="0" shrinkToFit="false"/>
      <protection locked="true" hidden="false"/>
    </xf>
    <xf numFmtId="169" fontId="0" fillId="12" borderId="7" xfId="0" applyFont="false" applyBorder="true" applyAlignment="true" applyProtection="false">
      <alignment horizontal="center" vertical="center" textRotation="0" wrapText="false" indent="0" shrinkToFit="false"/>
      <protection locked="true" hidden="false"/>
    </xf>
    <xf numFmtId="169" fontId="14" fillId="12" borderId="7" xfId="0" applyFont="true" applyBorder="true" applyAlignment="true" applyProtection="false">
      <alignment horizontal="center" vertical="center" textRotation="0" wrapText="false" indent="0" shrinkToFit="false"/>
      <protection locked="true" hidden="false"/>
    </xf>
    <xf numFmtId="164" fontId="15" fillId="13" borderId="7" xfId="0" applyFont="true" applyBorder="true" applyAlignment="true" applyProtection="false">
      <alignment horizontal="left" vertical="center" textRotation="0" wrapText="false" indent="1" shrinkToFit="false"/>
      <protection locked="true" hidden="false"/>
    </xf>
    <xf numFmtId="164" fontId="15" fillId="13" borderId="7" xfId="0" applyFont="true" applyBorder="true" applyAlignment="true" applyProtection="false">
      <alignment horizontal="center" vertical="center" textRotation="0" wrapText="false" indent="0" shrinkToFit="false"/>
      <protection locked="true" hidden="false"/>
    </xf>
    <xf numFmtId="168" fontId="14" fillId="13" borderId="7" xfId="0" applyFont="true" applyBorder="true" applyAlignment="true" applyProtection="false">
      <alignment horizontal="center" vertical="center" textRotation="0" wrapText="false" indent="0" shrinkToFit="false"/>
      <protection locked="true" hidden="false"/>
    </xf>
    <xf numFmtId="169" fontId="0" fillId="13" borderId="7" xfId="0" applyFont="false" applyBorder="true" applyAlignment="true" applyProtection="false">
      <alignment horizontal="center" vertical="center" textRotation="0" wrapText="false" indent="0" shrinkToFit="false"/>
      <protection locked="true" hidden="false"/>
    </xf>
    <xf numFmtId="169" fontId="14" fillId="13" borderId="7" xfId="0" applyFont="true" applyBorder="true" applyAlignment="true" applyProtection="false">
      <alignment horizontal="center" vertical="center" textRotation="0" wrapText="false" indent="0" shrinkToFit="false"/>
      <protection locked="true" hidden="false"/>
    </xf>
    <xf numFmtId="164" fontId="0" fillId="14" borderId="7" xfId="0" applyFont="false" applyBorder="true" applyAlignment="true" applyProtection="false">
      <alignment horizontal="left" vertical="center" textRotation="0" wrapText="false" indent="2" shrinkToFit="false"/>
      <protection locked="true" hidden="false"/>
    </xf>
    <xf numFmtId="164" fontId="0" fillId="14" borderId="7" xfId="0" applyFont="false" applyBorder="true" applyAlignment="true" applyProtection="false">
      <alignment horizontal="center" vertical="center" textRotation="0" wrapText="false" indent="0" shrinkToFit="false"/>
      <protection locked="true" hidden="false"/>
    </xf>
    <xf numFmtId="168" fontId="14" fillId="14" borderId="7" xfId="0" applyFont="true" applyBorder="true" applyAlignment="true" applyProtection="false">
      <alignment horizontal="center" vertical="center" textRotation="0" wrapText="false" indent="0" shrinkToFit="false"/>
      <protection locked="true" hidden="false"/>
    </xf>
    <xf numFmtId="169" fontId="0" fillId="14" borderId="7" xfId="0" applyFont="false" applyBorder="true" applyAlignment="true" applyProtection="false">
      <alignment horizontal="center" vertical="center" textRotation="0" wrapText="false" indent="0" shrinkToFit="false"/>
      <protection locked="true" hidden="false"/>
    </xf>
    <xf numFmtId="169" fontId="14" fillId="14" borderId="7" xfId="0" applyFont="true" applyBorder="true" applyAlignment="true" applyProtection="false">
      <alignment horizontal="center" vertical="center" textRotation="0" wrapText="false" indent="0" shrinkToFit="false"/>
      <protection locked="true" hidden="false"/>
    </xf>
    <xf numFmtId="164" fontId="16" fillId="15" borderId="7" xfId="0" applyFont="true" applyBorder="true" applyAlignment="true" applyProtection="false">
      <alignment horizontal="left" vertical="center" textRotation="0" wrapText="false" indent="1" shrinkToFit="false"/>
      <protection locked="true" hidden="false"/>
    </xf>
    <xf numFmtId="164" fontId="16" fillId="15" borderId="7" xfId="0" applyFont="true" applyBorder="true" applyAlignment="true" applyProtection="false">
      <alignment horizontal="center" vertical="center" textRotation="0" wrapText="false" indent="0" shrinkToFit="false"/>
      <protection locked="true" hidden="false"/>
    </xf>
    <xf numFmtId="168" fontId="14" fillId="15" borderId="7" xfId="0" applyFont="true" applyBorder="true" applyAlignment="true" applyProtection="false">
      <alignment horizontal="center" vertical="center" textRotation="0" wrapText="false" indent="0" shrinkToFit="false"/>
      <protection locked="true" hidden="false"/>
    </xf>
    <xf numFmtId="169" fontId="17" fillId="15" borderId="7" xfId="0" applyFont="true" applyBorder="true" applyAlignment="true" applyProtection="false">
      <alignment horizontal="left" vertical="center" textRotation="0" wrapText="false" indent="0" shrinkToFit="false"/>
      <protection locked="true" hidden="false"/>
    </xf>
    <xf numFmtId="169" fontId="14" fillId="15" borderId="7" xfId="0" applyFont="true" applyBorder="true" applyAlignment="true" applyProtection="false">
      <alignment horizontal="center" vertical="center" textRotation="0" wrapText="false" indent="0" shrinkToFit="false"/>
      <protection locked="true" hidden="false"/>
    </xf>
    <xf numFmtId="164" fontId="14" fillId="15" borderId="7" xfId="0" applyFont="true" applyBorder="true" applyAlignment="true" applyProtection="false">
      <alignment horizontal="center" vertical="center" textRotation="0" wrapText="false" indent="0" shrinkToFit="false"/>
      <protection locked="true" hidden="false"/>
    </xf>
    <xf numFmtId="164" fontId="0" fillId="15" borderId="8" xfId="0" applyFont="false" applyBorder="tru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4" fontId="24"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26" fillId="0" borderId="0" xfId="0" applyFont="true" applyBorder="false" applyAlignment="true" applyProtection="false">
      <alignment horizontal="general" vertical="top"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left" vertical="top" textRotation="0" wrapText="true" indent="1"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left" vertical="bottom"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theme="0" tint="-0.35"/>
        </patternFill>
      </fill>
    </dxf>
    <dxf>
      <fill>
        <patternFill>
          <bgColor theme="7"/>
        </patternFill>
      </fill>
      <border diagonalUp="false" diagonalDown="false">
        <left/>
        <right/>
        <top/>
        <bottom/>
        <diagonal/>
      </border>
    </dxf>
    <dxf>
      <border diagonalUp="false" diagonalDown="false">
        <left style="thin">
          <color rgb="FFC00000"/>
        </left>
        <right style="thin">
          <color rgb="FFC00000"/>
        </right>
        <top/>
        <bottom/>
        <diagonal/>
      </border>
    </dxf>
  </dxfs>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080"/>
      <rgbColor rgb="FFCCC1DA"/>
      <rgbColor rgb="FF808080"/>
      <rgbColor rgb="FFE6E0EC"/>
      <rgbColor rgb="FF595959"/>
      <rgbColor rgb="FFEBF1DE"/>
      <rgbColor rgb="FFDBEEF4"/>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CE6F2"/>
      <rgbColor rgb="FFD7E4BD"/>
      <rgbColor rgb="FFF2F2F2"/>
      <rgbColor rgb="FFB7DEE8"/>
      <rgbColor rgb="FFF2DCDB"/>
      <rgbColor rgb="FFD9D9D9"/>
      <rgbColor rgb="FFE6B9B8"/>
      <rgbColor rgb="FF3366FF"/>
      <rgbColor rgb="FF33CCCC"/>
      <rgbColor rgb="FF99CC00"/>
      <rgbColor rgb="FFFFCC00"/>
      <rgbColor rgb="FFFF9900"/>
      <rgbColor rgb="FFFF6600"/>
      <rgbColor rgb="FF8064A2"/>
      <rgbColor rgb="FFA6A6A6"/>
      <rgbColor rgb="FF003366"/>
      <rgbColor rgb="FF339966"/>
      <rgbColor rgb="FF003300"/>
      <rgbColor rgb="FF333300"/>
      <rgbColor rgb="FF993300"/>
      <rgbColor rgb="FF993366"/>
      <rgbColor rgb="FF376092"/>
      <rgbColor rgb="FF1D21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xl/media/image1.png" TargetMode="External"/><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95400</xdr:rowOff>
    </xdr:from>
    <xdr:to>
      <xdr:col>1</xdr:col>
      <xdr:colOff>1904040</xdr:colOff>
      <xdr:row>0</xdr:row>
      <xdr:rowOff>523080</xdr:rowOff>
    </xdr:to>
    <xdr:pic>
      <xdr:nvPicPr>
        <xdr:cNvPr id="0" name="Picture 1" descr="">
          <a:hlinkClick r:id="rId1"/>
        </xdr:cNvPr>
        <xdr:cNvPicPr/>
      </xdr:nvPicPr>
      <xdr:blipFill>
        <a:blip r:embed="rId2"/>
        <a:stretch/>
      </xdr:blipFill>
      <xdr:spPr>
        <a:xfrm>
          <a:off x="205200" y="95400"/>
          <a:ext cx="1904040" cy="427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4"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L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16" activePane="bottomLeft" state="frozen"/>
      <selection pane="topLeft" activeCell="A1" activeCellId="0" sqref="A1"/>
      <selection pane="bottomLeft" activeCell="Q16" activeCellId="0" sqref="Q16"/>
    </sheetView>
  </sheetViews>
  <sheetFormatPr defaultColWidth="8.6328125" defaultRowHeight="14.25" zeroHeight="false" outlineLevelRow="0" outlineLevelCol="0"/>
  <cols>
    <col collapsed="false" customWidth="true" hidden="false" outlineLevel="0" max="1" min="1" style="1" width="2.63"/>
    <col collapsed="false" customWidth="true" hidden="false" outlineLevel="0" max="2" min="2" style="1" width="56.18"/>
    <col collapsed="false" customWidth="true" hidden="false" outlineLevel="0" max="3" min="3" style="1" width="44.54"/>
    <col collapsed="false" customWidth="true" hidden="false" outlineLevel="0" max="4" min="4" style="1" width="10.63"/>
    <col collapsed="false" customWidth="true" hidden="false" outlineLevel="0" max="5" min="5" style="2" width="10.45"/>
    <col collapsed="false" customWidth="true" hidden="false" outlineLevel="0" max="6" min="6" style="1" width="10.45"/>
    <col collapsed="false" customWidth="true" hidden="false" outlineLevel="0" max="7" min="7" style="1" width="2.63"/>
    <col collapsed="false" customWidth="true" hidden="true" outlineLevel="0" max="8" min="8" style="1" width="6.09"/>
    <col collapsed="false" customWidth="true" hidden="false" outlineLevel="0" max="64" min="9" style="1" width="2.54"/>
    <col collapsed="false" customWidth="true" hidden="false" outlineLevel="0" max="70" min="69" style="1" width="10.36"/>
  </cols>
  <sheetData>
    <row r="1" customFormat="false" ht="28.5" hidden="false" customHeight="true" outlineLevel="0" collapsed="false">
      <c r="B1" s="3" t="s">
        <v>0</v>
      </c>
      <c r="C1" s="4"/>
      <c r="D1" s="5"/>
      <c r="E1" s="6"/>
      <c r="F1" s="7"/>
      <c r="H1" s="5"/>
      <c r="I1" s="8"/>
      <c r="J1" s="9" t="str">
        <f aca="false">HYPERLINK("https://vertex42.link/HowToMakeAGanttChart","► Watch How to Make a Gantt Chart in Excel")</f>
        <v>► Watch How to Make a Gantt Chart in Excel</v>
      </c>
      <c r="K1" s="9"/>
      <c r="L1" s="9"/>
      <c r="M1" s="9"/>
      <c r="N1" s="9"/>
      <c r="O1" s="9"/>
      <c r="P1" s="9"/>
      <c r="Q1" s="9"/>
      <c r="R1" s="9"/>
      <c r="S1" s="9"/>
      <c r="T1" s="9"/>
      <c r="U1" s="9"/>
      <c r="V1" s="9"/>
      <c r="W1" s="9"/>
      <c r="X1" s="9"/>
      <c r="Y1" s="9"/>
      <c r="Z1" s="9"/>
      <c r="AA1" s="9"/>
    </row>
    <row r="2" customFormat="false" ht="19.5" hidden="false" customHeight="true" outlineLevel="0" collapsed="false">
      <c r="B2" s="10" t="s">
        <v>1</v>
      </c>
      <c r="D2" s="11" t="s">
        <v>2</v>
      </c>
      <c r="E2" s="12" t="n">
        <v>46251</v>
      </c>
      <c r="F2" s="12"/>
    </row>
    <row r="3" customFormat="false" ht="19.5" hidden="false" customHeight="true" outlineLevel="0" collapsed="false">
      <c r="B3" s="10" t="s">
        <v>3</v>
      </c>
      <c r="D3" s="11" t="s">
        <v>4</v>
      </c>
      <c r="E3" s="12" t="n">
        <v>46277</v>
      </c>
      <c r="F3" s="12"/>
    </row>
    <row r="4" customFormat="false" ht="19.5" hidden="false" customHeight="true" outlineLevel="0" collapsed="false">
      <c r="D4" s="11" t="s">
        <v>5</v>
      </c>
      <c r="E4" s="13" t="n">
        <v>1</v>
      </c>
      <c r="I4" s="14" t="n">
        <f aca="false">I5</f>
        <v>46251</v>
      </c>
      <c r="J4" s="14"/>
      <c r="K4" s="14"/>
      <c r="L4" s="14"/>
      <c r="M4" s="14"/>
      <c r="N4" s="14"/>
      <c r="O4" s="14"/>
      <c r="P4" s="14" t="n">
        <f aca="false">P5</f>
        <v>46258</v>
      </c>
      <c r="Q4" s="14"/>
      <c r="R4" s="14"/>
      <c r="S4" s="14"/>
      <c r="T4" s="14"/>
      <c r="U4" s="14"/>
      <c r="V4" s="14"/>
      <c r="W4" s="14" t="n">
        <f aca="false">W5</f>
        <v>46265</v>
      </c>
      <c r="X4" s="14"/>
      <c r="Y4" s="14"/>
      <c r="Z4" s="14"/>
      <c r="AA4" s="14"/>
      <c r="AB4" s="14"/>
      <c r="AC4" s="14"/>
      <c r="AD4" s="14" t="n">
        <f aca="false">AD5</f>
        <v>46272</v>
      </c>
      <c r="AE4" s="14"/>
      <c r="AF4" s="14"/>
      <c r="AG4" s="14"/>
      <c r="AH4" s="14"/>
      <c r="AI4" s="14"/>
      <c r="AJ4" s="14"/>
      <c r="AK4" s="14" t="n">
        <f aca="false">AK5</f>
        <v>46279</v>
      </c>
      <c r="AL4" s="14"/>
      <c r="AM4" s="14"/>
      <c r="AN4" s="14"/>
      <c r="AO4" s="14"/>
      <c r="AP4" s="14"/>
      <c r="AQ4" s="14"/>
      <c r="AR4" s="14" t="n">
        <f aca="false">AR5</f>
        <v>46286</v>
      </c>
      <c r="AS4" s="14"/>
      <c r="AT4" s="14"/>
      <c r="AU4" s="14"/>
      <c r="AV4" s="14"/>
      <c r="AW4" s="14"/>
      <c r="AX4" s="14"/>
      <c r="AY4" s="14" t="n">
        <f aca="false">AY5</f>
        <v>46293</v>
      </c>
      <c r="AZ4" s="14"/>
      <c r="BA4" s="14"/>
      <c r="BB4" s="14"/>
      <c r="BC4" s="14"/>
      <c r="BD4" s="14"/>
      <c r="BE4" s="14"/>
      <c r="BF4" s="14" t="n">
        <f aca="false">BF5</f>
        <v>46300</v>
      </c>
      <c r="BG4" s="14"/>
      <c r="BH4" s="14"/>
      <c r="BI4" s="14"/>
      <c r="BJ4" s="14"/>
      <c r="BK4" s="14"/>
      <c r="BL4" s="14"/>
    </row>
    <row r="5" customFormat="false" ht="14.25" hidden="false" customHeight="true" outlineLevel="0" collapsed="false">
      <c r="A5" s="11"/>
      <c r="G5" s="11"/>
      <c r="I5" s="15" t="n">
        <f aca="false">E2-WEEKDAY(E2,1)+2+7*(E4-1)</f>
        <v>46251</v>
      </c>
      <c r="J5" s="16" t="n">
        <f aca="false">I5+1</f>
        <v>46252</v>
      </c>
      <c r="K5" s="16" t="n">
        <f aca="false">J5+1</f>
        <v>46253</v>
      </c>
      <c r="L5" s="16" t="n">
        <f aca="false">K5+1</f>
        <v>46254</v>
      </c>
      <c r="M5" s="16" t="n">
        <f aca="false">L5+1</f>
        <v>46255</v>
      </c>
      <c r="N5" s="16" t="n">
        <f aca="false">M5+1</f>
        <v>46256</v>
      </c>
      <c r="O5" s="17" t="n">
        <f aca="false">N5+1</f>
        <v>46257</v>
      </c>
      <c r="P5" s="15" t="n">
        <f aca="false">O5+1</f>
        <v>46258</v>
      </c>
      <c r="Q5" s="16" t="n">
        <f aca="false">P5+1</f>
        <v>46259</v>
      </c>
      <c r="R5" s="16" t="n">
        <f aca="false">Q5+1</f>
        <v>46260</v>
      </c>
      <c r="S5" s="16" t="n">
        <f aca="false">R5+1</f>
        <v>46261</v>
      </c>
      <c r="T5" s="16" t="n">
        <f aca="false">S5+1</f>
        <v>46262</v>
      </c>
      <c r="U5" s="16" t="n">
        <f aca="false">T5+1</f>
        <v>46263</v>
      </c>
      <c r="V5" s="17" t="n">
        <f aca="false">U5+1</f>
        <v>46264</v>
      </c>
      <c r="W5" s="15" t="n">
        <f aca="false">V5+1</f>
        <v>46265</v>
      </c>
      <c r="X5" s="16" t="n">
        <f aca="false">W5+1</f>
        <v>46266</v>
      </c>
      <c r="Y5" s="16" t="n">
        <f aca="false">X5+1</f>
        <v>46267</v>
      </c>
      <c r="Z5" s="16" t="n">
        <f aca="false">Y5+1</f>
        <v>46268</v>
      </c>
      <c r="AA5" s="16" t="n">
        <f aca="false">Z5+1</f>
        <v>46269</v>
      </c>
      <c r="AB5" s="16" t="n">
        <f aca="false">AA5+1</f>
        <v>46270</v>
      </c>
      <c r="AC5" s="17" t="n">
        <f aca="false">AB5+1</f>
        <v>46271</v>
      </c>
      <c r="AD5" s="15" t="n">
        <f aca="false">AC5+1</f>
        <v>46272</v>
      </c>
      <c r="AE5" s="16" t="n">
        <f aca="false">AD5+1</f>
        <v>46273</v>
      </c>
      <c r="AF5" s="16" t="n">
        <f aca="false">AE5+1</f>
        <v>46274</v>
      </c>
      <c r="AG5" s="16" t="n">
        <f aca="false">AF5+1</f>
        <v>46275</v>
      </c>
      <c r="AH5" s="16" t="n">
        <f aca="false">AG5+1</f>
        <v>46276</v>
      </c>
      <c r="AI5" s="16" t="n">
        <f aca="false">AH5+1</f>
        <v>46277</v>
      </c>
      <c r="AJ5" s="17" t="n">
        <f aca="false">AI5+1</f>
        <v>46278</v>
      </c>
      <c r="AK5" s="15" t="n">
        <f aca="false">AJ5+1</f>
        <v>46279</v>
      </c>
      <c r="AL5" s="16" t="n">
        <f aca="false">AK5+1</f>
        <v>46280</v>
      </c>
      <c r="AM5" s="16" t="n">
        <f aca="false">AL5+1</f>
        <v>46281</v>
      </c>
      <c r="AN5" s="16" t="n">
        <f aca="false">AM5+1</f>
        <v>46282</v>
      </c>
      <c r="AO5" s="16" t="n">
        <f aca="false">AN5+1</f>
        <v>46283</v>
      </c>
      <c r="AP5" s="16" t="n">
        <f aca="false">AO5+1</f>
        <v>46284</v>
      </c>
      <c r="AQ5" s="17" t="n">
        <f aca="false">AP5+1</f>
        <v>46285</v>
      </c>
      <c r="AR5" s="15" t="n">
        <f aca="false">AQ5+1</f>
        <v>46286</v>
      </c>
      <c r="AS5" s="16" t="n">
        <f aca="false">AR5+1</f>
        <v>46287</v>
      </c>
      <c r="AT5" s="16" t="n">
        <f aca="false">AS5+1</f>
        <v>46288</v>
      </c>
      <c r="AU5" s="16" t="n">
        <f aca="false">AT5+1</f>
        <v>46289</v>
      </c>
      <c r="AV5" s="16" t="n">
        <f aca="false">AU5+1</f>
        <v>46290</v>
      </c>
      <c r="AW5" s="16" t="n">
        <f aca="false">AV5+1</f>
        <v>46291</v>
      </c>
      <c r="AX5" s="17" t="n">
        <f aca="false">AW5+1</f>
        <v>46292</v>
      </c>
      <c r="AY5" s="15" t="n">
        <f aca="false">AX5+1</f>
        <v>46293</v>
      </c>
      <c r="AZ5" s="16" t="n">
        <f aca="false">AY5+1</f>
        <v>46294</v>
      </c>
      <c r="BA5" s="16" t="n">
        <f aca="false">AZ5+1</f>
        <v>46295</v>
      </c>
      <c r="BB5" s="16" t="n">
        <f aca="false">BA5+1</f>
        <v>46296</v>
      </c>
      <c r="BC5" s="16" t="n">
        <f aca="false">BB5+1</f>
        <v>46297</v>
      </c>
      <c r="BD5" s="16" t="n">
        <f aca="false">BC5+1</f>
        <v>46298</v>
      </c>
      <c r="BE5" s="17" t="n">
        <f aca="false">BD5+1</f>
        <v>46299</v>
      </c>
      <c r="BF5" s="15" t="n">
        <f aca="false">BE5+1</f>
        <v>46300</v>
      </c>
      <c r="BG5" s="16" t="n">
        <f aca="false">BF5+1</f>
        <v>46301</v>
      </c>
      <c r="BH5" s="16" t="n">
        <f aca="false">BG5+1</f>
        <v>46302</v>
      </c>
      <c r="BI5" s="16" t="n">
        <f aca="false">BH5+1</f>
        <v>46303</v>
      </c>
      <c r="BJ5" s="16" t="n">
        <f aca="false">BI5+1</f>
        <v>46304</v>
      </c>
      <c r="BK5" s="16" t="n">
        <f aca="false">BJ5+1</f>
        <v>46305</v>
      </c>
      <c r="BL5" s="17" t="n">
        <f aca="false">BK5+1</f>
        <v>46306</v>
      </c>
    </row>
    <row r="6" customFormat="false" ht="29.25" hidden="false" customHeight="true" outlineLevel="0" collapsed="false">
      <c r="A6" s="18"/>
      <c r="B6" s="19" t="s">
        <v>6</v>
      </c>
      <c r="C6" s="20" t="s">
        <v>7</v>
      </c>
      <c r="D6" s="20" t="s">
        <v>8</v>
      </c>
      <c r="E6" s="20" t="s">
        <v>9</v>
      </c>
      <c r="F6" s="20" t="s">
        <v>10</v>
      </c>
      <c r="G6" s="20"/>
      <c r="H6" s="20" t="s">
        <v>11</v>
      </c>
      <c r="I6" s="21" t="str">
        <f aca="false">LEFT(TEXT(I5,"ddd"),1)</f>
        <v>M</v>
      </c>
      <c r="J6" s="21" t="str">
        <f aca="false">LEFT(TEXT(J5,"ddd"),1)</f>
        <v>T</v>
      </c>
      <c r="K6" s="21" t="str">
        <f aca="false">LEFT(TEXT(K5,"ddd"),1)</f>
        <v>W</v>
      </c>
      <c r="L6" s="21" t="str">
        <f aca="false">LEFT(TEXT(L5,"ddd"),1)</f>
        <v>T</v>
      </c>
      <c r="M6" s="21" t="str">
        <f aca="false">LEFT(TEXT(M5,"ddd"),1)</f>
        <v>F</v>
      </c>
      <c r="N6" s="21" t="str">
        <f aca="false">LEFT(TEXT(N5,"ddd"),1)</f>
        <v>S</v>
      </c>
      <c r="O6" s="21" t="str">
        <f aca="false">LEFT(TEXT(O5,"ddd"),1)</f>
        <v>S</v>
      </c>
      <c r="P6" s="21" t="str">
        <f aca="false">LEFT(TEXT(P5,"ddd"),1)</f>
        <v>M</v>
      </c>
      <c r="Q6" s="21" t="str">
        <f aca="false">LEFT(TEXT(Q5,"ddd"),1)</f>
        <v>T</v>
      </c>
      <c r="R6" s="21" t="str">
        <f aca="false">LEFT(TEXT(R5,"ddd"),1)</f>
        <v>W</v>
      </c>
      <c r="S6" s="21" t="str">
        <f aca="false">LEFT(TEXT(S5,"ddd"),1)</f>
        <v>T</v>
      </c>
      <c r="T6" s="21" t="str">
        <f aca="false">LEFT(TEXT(T5,"ddd"),1)</f>
        <v>F</v>
      </c>
      <c r="U6" s="21" t="str">
        <f aca="false">LEFT(TEXT(U5,"ddd"),1)</f>
        <v>S</v>
      </c>
      <c r="V6" s="21" t="str">
        <f aca="false">LEFT(TEXT(V5,"ddd"),1)</f>
        <v>S</v>
      </c>
      <c r="W6" s="21" t="str">
        <f aca="false">LEFT(TEXT(W5,"ddd"),1)</f>
        <v>M</v>
      </c>
      <c r="X6" s="21" t="str">
        <f aca="false">LEFT(TEXT(X5,"ddd"),1)</f>
        <v>T</v>
      </c>
      <c r="Y6" s="21" t="str">
        <f aca="false">LEFT(TEXT(Y5,"ddd"),1)</f>
        <v>W</v>
      </c>
      <c r="Z6" s="21" t="str">
        <f aca="false">LEFT(TEXT(Z5,"ddd"),1)</f>
        <v>T</v>
      </c>
      <c r="AA6" s="21" t="str">
        <f aca="false">LEFT(TEXT(AA5,"ddd"),1)</f>
        <v>F</v>
      </c>
      <c r="AB6" s="21" t="str">
        <f aca="false">LEFT(TEXT(AB5,"ddd"),1)</f>
        <v>S</v>
      </c>
      <c r="AC6" s="21" t="str">
        <f aca="false">LEFT(TEXT(AC5,"ddd"),1)</f>
        <v>S</v>
      </c>
      <c r="AD6" s="21" t="str">
        <f aca="false">LEFT(TEXT(AD5,"ddd"),1)</f>
        <v>M</v>
      </c>
      <c r="AE6" s="21" t="str">
        <f aca="false">LEFT(TEXT(AE5,"ddd"),1)</f>
        <v>T</v>
      </c>
      <c r="AF6" s="21" t="str">
        <f aca="false">LEFT(TEXT(AF5,"ddd"),1)</f>
        <v>W</v>
      </c>
      <c r="AG6" s="21" t="str">
        <f aca="false">LEFT(TEXT(AG5,"ddd"),1)</f>
        <v>T</v>
      </c>
      <c r="AH6" s="21" t="str">
        <f aca="false">LEFT(TEXT(AH5,"ddd"),1)</f>
        <v>F</v>
      </c>
      <c r="AI6" s="21" t="str">
        <f aca="false">LEFT(TEXT(AI5,"ddd"),1)</f>
        <v>S</v>
      </c>
      <c r="AJ6" s="21" t="str">
        <f aca="false">LEFT(TEXT(AJ5,"ddd"),1)</f>
        <v>S</v>
      </c>
      <c r="AK6" s="21" t="str">
        <f aca="false">LEFT(TEXT(AK5,"ddd"),1)</f>
        <v>M</v>
      </c>
      <c r="AL6" s="21" t="str">
        <f aca="false">LEFT(TEXT(AL5,"ddd"),1)</f>
        <v>T</v>
      </c>
      <c r="AM6" s="21" t="str">
        <f aca="false">LEFT(TEXT(AM5,"ddd"),1)</f>
        <v>W</v>
      </c>
      <c r="AN6" s="21" t="str">
        <f aca="false">LEFT(TEXT(AN5,"ddd"),1)</f>
        <v>T</v>
      </c>
      <c r="AO6" s="21" t="str">
        <f aca="false">LEFT(TEXT(AO5,"ddd"),1)</f>
        <v>F</v>
      </c>
      <c r="AP6" s="21" t="str">
        <f aca="false">LEFT(TEXT(AP5,"ddd"),1)</f>
        <v>S</v>
      </c>
      <c r="AQ6" s="21" t="str">
        <f aca="false">LEFT(TEXT(AQ5,"ddd"),1)</f>
        <v>S</v>
      </c>
      <c r="AR6" s="21" t="str">
        <f aca="false">LEFT(TEXT(AR5,"ddd"),1)</f>
        <v>M</v>
      </c>
      <c r="AS6" s="21" t="str">
        <f aca="false">LEFT(TEXT(AS5,"ddd"),1)</f>
        <v>T</v>
      </c>
      <c r="AT6" s="21" t="str">
        <f aca="false">LEFT(TEXT(AT5,"ddd"),1)</f>
        <v>W</v>
      </c>
      <c r="AU6" s="21" t="str">
        <f aca="false">LEFT(TEXT(AU5,"ddd"),1)</f>
        <v>T</v>
      </c>
      <c r="AV6" s="21" t="str">
        <f aca="false">LEFT(TEXT(AV5,"ddd"),1)</f>
        <v>F</v>
      </c>
      <c r="AW6" s="21" t="str">
        <f aca="false">LEFT(TEXT(AW5,"ddd"),1)</f>
        <v>S</v>
      </c>
      <c r="AX6" s="21" t="str">
        <f aca="false">LEFT(TEXT(AX5,"ddd"),1)</f>
        <v>S</v>
      </c>
      <c r="AY6" s="21" t="str">
        <f aca="false">LEFT(TEXT(AY5,"ddd"),1)</f>
        <v>M</v>
      </c>
      <c r="AZ6" s="21" t="str">
        <f aca="false">LEFT(TEXT(AZ5,"ddd"),1)</f>
        <v>T</v>
      </c>
      <c r="BA6" s="21" t="str">
        <f aca="false">LEFT(TEXT(BA5,"ddd"),1)</f>
        <v>W</v>
      </c>
      <c r="BB6" s="21" t="str">
        <f aca="false">LEFT(TEXT(BB5,"ddd"),1)</f>
        <v>T</v>
      </c>
      <c r="BC6" s="21" t="str">
        <f aca="false">LEFT(TEXT(BC5,"ddd"),1)</f>
        <v>F</v>
      </c>
      <c r="BD6" s="21" t="str">
        <f aca="false">LEFT(TEXT(BD5,"ddd"),1)</f>
        <v>S</v>
      </c>
      <c r="BE6" s="21" t="str">
        <f aca="false">LEFT(TEXT(BE5,"ddd"),1)</f>
        <v>S</v>
      </c>
      <c r="BF6" s="21" t="str">
        <f aca="false">LEFT(TEXT(BF5,"ddd"),1)</f>
        <v>M</v>
      </c>
      <c r="BG6" s="21" t="str">
        <f aca="false">LEFT(TEXT(BG5,"ddd"),1)</f>
        <v>T</v>
      </c>
      <c r="BH6" s="21" t="str">
        <f aca="false">LEFT(TEXT(BH5,"ddd"),1)</f>
        <v>W</v>
      </c>
      <c r="BI6" s="21" t="str">
        <f aca="false">LEFT(TEXT(BI5,"ddd"),1)</f>
        <v>T</v>
      </c>
      <c r="BJ6" s="21" t="str">
        <f aca="false">LEFT(TEXT(BJ5,"ddd"),1)</f>
        <v>F</v>
      </c>
      <c r="BK6" s="21" t="str">
        <f aca="false">LEFT(TEXT(BK5,"ddd"),1)</f>
        <v>S</v>
      </c>
      <c r="BL6" s="21" t="str">
        <f aca="false">LEFT(TEXT(BL5,"ddd"),1)</f>
        <v>S</v>
      </c>
    </row>
    <row r="7" s="29" customFormat="true" ht="21.75" hidden="false" customHeight="true" outlineLevel="0" collapsed="false">
      <c r="A7" s="18"/>
      <c r="B7" s="22"/>
      <c r="C7" s="23"/>
      <c r="D7" s="24"/>
      <c r="E7" s="25"/>
      <c r="F7" s="26"/>
      <c r="G7" s="27"/>
      <c r="H7" s="27" t="str">
        <f aca="false">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row>
    <row r="8" s="29" customFormat="true" ht="21.75" hidden="false" customHeight="true" outlineLevel="0" collapsed="false">
      <c r="A8" s="18"/>
      <c r="B8" s="30" t="s">
        <v>12</v>
      </c>
      <c r="C8" s="31"/>
      <c r="D8" s="32"/>
      <c r="E8" s="33"/>
      <c r="F8" s="34"/>
      <c r="G8" s="27"/>
      <c r="H8" s="27" t="str">
        <f aca="false">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row>
    <row r="9" s="29" customFormat="true" ht="21.75" hidden="false" customHeight="true" outlineLevel="0" collapsed="false">
      <c r="A9" s="18"/>
      <c r="B9" s="35" t="s">
        <v>13</v>
      </c>
      <c r="C9" s="36" t="s">
        <v>14</v>
      </c>
      <c r="D9" s="37" t="n">
        <v>1</v>
      </c>
      <c r="E9" s="38" t="n">
        <v>46251</v>
      </c>
      <c r="F9" s="39" t="n">
        <v>46252</v>
      </c>
      <c r="G9" s="27"/>
      <c r="H9" s="27" t="n">
        <f aca="false">IF(OR(ISBLANK(task_start),ISBLANK(task_end)),"",task_end-task_start+1)</f>
        <v>2</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row>
    <row r="10" s="29" customFormat="true" ht="21.75" hidden="false" customHeight="true" outlineLevel="0" collapsed="false">
      <c r="A10" s="18"/>
      <c r="B10" s="35" t="s">
        <v>15</v>
      </c>
      <c r="C10" s="36" t="s">
        <v>14</v>
      </c>
      <c r="D10" s="37" t="n">
        <v>1</v>
      </c>
      <c r="E10" s="38" t="n">
        <v>46253</v>
      </c>
      <c r="F10" s="39" t="n">
        <v>46253</v>
      </c>
      <c r="G10" s="27"/>
      <c r="H10" s="27" t="n">
        <f aca="false">IF(OR(ISBLANK(task_start),ISBLANK(task_end)),"",task_end-task_start+1)</f>
        <v>1</v>
      </c>
      <c r="I10" s="28"/>
      <c r="J10" s="28"/>
      <c r="K10" s="28"/>
      <c r="L10" s="28"/>
      <c r="M10" s="28"/>
      <c r="N10" s="28"/>
      <c r="O10" s="28"/>
      <c r="P10" s="28"/>
      <c r="Q10" s="28"/>
      <c r="R10" s="28"/>
      <c r="S10" s="28"/>
      <c r="T10" s="28"/>
      <c r="U10" s="40"/>
      <c r="V10" s="40"/>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row>
    <row r="11" s="29" customFormat="true" ht="21.75" hidden="false" customHeight="true" outlineLevel="0" collapsed="false">
      <c r="A11" s="18"/>
      <c r="B11" s="35" t="s">
        <v>16</v>
      </c>
      <c r="C11" s="36" t="s">
        <v>14</v>
      </c>
      <c r="D11" s="37" t="n">
        <v>1</v>
      </c>
      <c r="E11" s="38" t="n">
        <v>46254</v>
      </c>
      <c r="F11" s="39" t="n">
        <v>46254</v>
      </c>
      <c r="G11" s="27"/>
      <c r="H11" s="27" t="n">
        <f aca="false">IF(OR(ISBLANK(task_start),ISBLANK(task_end)),"",task_end-task_start+1)</f>
        <v>1</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row>
    <row r="12" s="29" customFormat="true" ht="21.75" hidden="false" customHeight="true" outlineLevel="0" collapsed="false">
      <c r="A12" s="18"/>
      <c r="B12" s="35" t="s">
        <v>17</v>
      </c>
      <c r="C12" s="36" t="s">
        <v>14</v>
      </c>
      <c r="D12" s="37" t="n">
        <v>1</v>
      </c>
      <c r="E12" s="38" t="n">
        <v>46255</v>
      </c>
      <c r="F12" s="39" t="n">
        <v>46255</v>
      </c>
      <c r="G12" s="27"/>
      <c r="H12" s="27" t="n">
        <f aca="false">IF(OR(ISBLANK(task_start),ISBLANK(task_end)),"",task_end-task_start+1)</f>
        <v>1</v>
      </c>
      <c r="I12" s="28"/>
      <c r="J12" s="28"/>
      <c r="K12" s="28"/>
      <c r="L12" s="28"/>
      <c r="M12" s="28"/>
      <c r="N12" s="28"/>
      <c r="O12" s="28"/>
      <c r="P12" s="28"/>
      <c r="Q12" s="28"/>
      <c r="R12" s="28"/>
      <c r="S12" s="28"/>
      <c r="T12" s="28"/>
      <c r="U12" s="28"/>
      <c r="V12" s="28"/>
      <c r="W12" s="28"/>
      <c r="X12" s="28"/>
      <c r="Y12" s="40"/>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row>
    <row r="13" s="29" customFormat="true" ht="21.75" hidden="false" customHeight="true" outlineLevel="0" collapsed="false">
      <c r="A13" s="18"/>
      <c r="B13" s="35" t="s">
        <v>18</v>
      </c>
      <c r="C13" s="36" t="s">
        <v>14</v>
      </c>
      <c r="D13" s="37" t="n">
        <v>1</v>
      </c>
      <c r="E13" s="38" t="n">
        <v>46255</v>
      </c>
      <c r="F13" s="39" t="n">
        <v>46255</v>
      </c>
      <c r="G13" s="27"/>
      <c r="H13" s="27" t="n">
        <f aca="false">IF(OR(ISBLANK(task_start),ISBLANK(task_end)),"",task_end-task_start+1)</f>
        <v>1</v>
      </c>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row>
    <row r="14" s="29" customFormat="true" ht="21.75" hidden="false" customHeight="true" outlineLevel="0" collapsed="false">
      <c r="A14" s="18"/>
      <c r="B14" s="41" t="s">
        <v>19</v>
      </c>
      <c r="C14" s="42"/>
      <c r="D14" s="43"/>
      <c r="E14" s="44"/>
      <c r="F14" s="45"/>
      <c r="G14" s="27"/>
      <c r="H14" s="27" t="str">
        <f aca="false">IF(OR(ISBLANK(task_start),ISBLANK(task_end)),"",task_end-task_start+1)</f>
        <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row>
    <row r="15" s="29" customFormat="true" ht="21.75" hidden="false" customHeight="true" outlineLevel="0" collapsed="false">
      <c r="A15" s="18"/>
      <c r="B15" s="46" t="s">
        <v>20</v>
      </c>
      <c r="C15" s="47" t="s">
        <v>21</v>
      </c>
      <c r="D15" s="48" t="n">
        <v>1</v>
      </c>
      <c r="E15" s="49" t="n">
        <v>46272</v>
      </c>
      <c r="F15" s="50" t="n">
        <v>46272</v>
      </c>
      <c r="G15" s="27"/>
      <c r="H15" s="27" t="n">
        <f aca="false">IF(OR(ISBLANK(task_start),ISBLANK(task_end)),"",task_end-task_start+1)</f>
        <v>1</v>
      </c>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row>
    <row r="16" s="29" customFormat="true" ht="21.75" hidden="false" customHeight="true" outlineLevel="0" collapsed="false">
      <c r="A16" s="18"/>
      <c r="B16" s="46" t="s">
        <v>22</v>
      </c>
      <c r="C16" s="47" t="s">
        <v>23</v>
      </c>
      <c r="D16" s="48" t="n">
        <v>1</v>
      </c>
      <c r="E16" s="49" t="n">
        <v>46265</v>
      </c>
      <c r="F16" s="50" t="n">
        <v>46265</v>
      </c>
      <c r="G16" s="27"/>
      <c r="H16" s="27"/>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row>
    <row r="17" s="29" customFormat="true" ht="21.75" hidden="false" customHeight="true" outlineLevel="0" collapsed="false">
      <c r="A17" s="18"/>
      <c r="B17" s="46" t="s">
        <v>24</v>
      </c>
      <c r="C17" s="47" t="s">
        <v>21</v>
      </c>
      <c r="D17" s="48" t="n">
        <v>1</v>
      </c>
      <c r="E17" s="49" t="n">
        <v>46273</v>
      </c>
      <c r="F17" s="50" t="n">
        <v>46273</v>
      </c>
      <c r="G17" s="27"/>
      <c r="H17" s="27" t="n">
        <f aca="false">IF(OR(ISBLANK(task_start),ISBLANK(task_end)),"",task_end-task_start+1)</f>
        <v>1</v>
      </c>
      <c r="I17" s="28"/>
      <c r="J17" s="28"/>
      <c r="K17" s="28"/>
      <c r="L17" s="28"/>
      <c r="M17" s="28"/>
      <c r="N17" s="28"/>
      <c r="O17" s="28"/>
      <c r="P17" s="28"/>
      <c r="Q17" s="28"/>
      <c r="R17" s="28"/>
      <c r="S17" s="28"/>
      <c r="T17" s="28"/>
      <c r="U17" s="40"/>
      <c r="V17" s="40"/>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row>
    <row r="18" s="29" customFormat="true" ht="21.75" hidden="false" customHeight="true" outlineLevel="0" collapsed="false">
      <c r="A18" s="18"/>
      <c r="B18" s="46" t="s">
        <v>25</v>
      </c>
      <c r="C18" s="47" t="s">
        <v>14</v>
      </c>
      <c r="D18" s="48"/>
      <c r="E18" s="49" t="n">
        <v>46274</v>
      </c>
      <c r="F18" s="50" t="n">
        <v>46274</v>
      </c>
      <c r="G18" s="27"/>
      <c r="H18" s="27" t="n">
        <f aca="false">IF(OR(ISBLANK(task_start),ISBLANK(task_end)),"",task_end-task_start+1)</f>
        <v>1</v>
      </c>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row>
    <row r="19" s="29" customFormat="true" ht="21.75" hidden="false" customHeight="true" outlineLevel="0" collapsed="false">
      <c r="A19" s="18"/>
      <c r="B19" s="46" t="s">
        <v>26</v>
      </c>
      <c r="C19" s="47" t="s">
        <v>21</v>
      </c>
      <c r="D19" s="48" t="n">
        <v>1</v>
      </c>
      <c r="E19" s="49" t="n">
        <v>46275</v>
      </c>
      <c r="F19" s="50" t="n">
        <v>46275</v>
      </c>
      <c r="G19" s="27"/>
      <c r="H19" s="27" t="n">
        <f aca="false">IF(OR(ISBLANK(task_start),ISBLANK(task_end)),"",task_end-task_start+1)</f>
        <v>1</v>
      </c>
      <c r="I19" s="28"/>
      <c r="J19" s="28"/>
      <c r="K19" s="28"/>
      <c r="L19" s="28"/>
      <c r="M19" s="28"/>
      <c r="N19" s="28"/>
      <c r="O19" s="28"/>
      <c r="P19" s="28"/>
      <c r="Q19" s="28"/>
      <c r="R19" s="28"/>
      <c r="S19" s="28"/>
      <c r="T19" s="28"/>
      <c r="U19" s="28"/>
      <c r="V19" s="28"/>
      <c r="W19" s="28"/>
      <c r="X19" s="28"/>
      <c r="Y19" s="40"/>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row>
    <row r="20" s="29" customFormat="true" ht="21.75" hidden="false" customHeight="true" outlineLevel="0" collapsed="false">
      <c r="A20" s="18"/>
      <c r="B20" s="46" t="s">
        <v>27</v>
      </c>
      <c r="C20" s="47" t="s">
        <v>21</v>
      </c>
      <c r="D20" s="48" t="n">
        <v>1</v>
      </c>
      <c r="E20" s="49" t="n">
        <v>46276</v>
      </c>
      <c r="F20" s="50" t="n">
        <v>46277</v>
      </c>
      <c r="G20" s="27"/>
      <c r="H20" s="27" t="n">
        <f aca="false">IF(OR(ISBLANK(task_start),ISBLANK(task_end)),"",task_end-task_start+1)</f>
        <v>2</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row>
    <row r="21" s="29" customFormat="true" ht="21.75" hidden="false" customHeight="true" outlineLevel="0" collapsed="false">
      <c r="A21" s="18"/>
      <c r="B21" s="51" t="s">
        <v>28</v>
      </c>
      <c r="C21" s="52"/>
      <c r="D21" s="53"/>
      <c r="E21" s="54"/>
      <c r="F21" s="55"/>
      <c r="G21" s="27"/>
      <c r="H21" s="27" t="str">
        <f aca="false">IF(OR(ISBLANK(task_start),ISBLANK(task_end)),"",task_end-task_start+1)</f>
        <v/>
      </c>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row>
    <row r="22" s="29" customFormat="true" ht="21.75" hidden="false" customHeight="true" outlineLevel="0" collapsed="false">
      <c r="A22" s="18"/>
      <c r="B22" s="56" t="s">
        <v>29</v>
      </c>
      <c r="C22" s="57" t="s">
        <v>23</v>
      </c>
      <c r="D22" s="58" t="n">
        <v>1</v>
      </c>
      <c r="E22" s="59" t="n">
        <v>46274</v>
      </c>
      <c r="F22" s="60" t="n">
        <v>46278</v>
      </c>
      <c r="G22" s="27"/>
      <c r="H22" s="27" t="n">
        <f aca="false">IF(OR(ISBLANK(task_start),ISBLANK(task_end)),"",task_end-task_start+1)</f>
        <v>5</v>
      </c>
      <c r="I22" s="28"/>
      <c r="J22" s="28"/>
      <c r="K22" s="28"/>
      <c r="L22" s="28"/>
      <c r="M22" s="28"/>
      <c r="N22" s="28"/>
      <c r="O22" s="28"/>
      <c r="P22" s="28"/>
      <c r="Q22" s="28"/>
      <c r="R22" s="28"/>
      <c r="S22" s="28"/>
      <c r="T22" s="28"/>
      <c r="U22" s="28"/>
      <c r="V22" s="28"/>
      <c r="W22" s="28"/>
      <c r="X22" s="28"/>
      <c r="Y22" s="28"/>
      <c r="Z22" s="28"/>
      <c r="AA22" s="28"/>
      <c r="AB22" s="28"/>
      <c r="AC22" s="28"/>
      <c r="AD22" s="61"/>
      <c r="AE22" s="61"/>
      <c r="AF22" s="61"/>
      <c r="AG22" s="61"/>
      <c r="AH22" s="61"/>
      <c r="AI22" s="61"/>
      <c r="AJ22" s="61"/>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row>
    <row r="23" s="29" customFormat="true" ht="21.75" hidden="false" customHeight="true" outlineLevel="0" collapsed="false">
      <c r="A23" s="18"/>
      <c r="B23" s="56" t="s">
        <v>30</v>
      </c>
      <c r="C23" s="57" t="s">
        <v>23</v>
      </c>
      <c r="D23" s="58" t="n">
        <v>1</v>
      </c>
      <c r="E23" s="59" t="n">
        <v>46276</v>
      </c>
      <c r="F23" s="60" t="n">
        <v>46278</v>
      </c>
      <c r="G23" s="27"/>
      <c r="H23" s="27" t="n">
        <f aca="false">IF(OR(ISBLANK(task_start),ISBLANK(task_end)),"",task_end-task_start+1)</f>
        <v>3</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61"/>
      <c r="AI23" s="61"/>
      <c r="AJ23" s="61"/>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row>
    <row r="24" s="29" customFormat="true" ht="21.75" hidden="false" customHeight="true" outlineLevel="0" collapsed="false">
      <c r="A24" s="18"/>
      <c r="B24" s="56" t="s">
        <v>31</v>
      </c>
      <c r="C24" s="57" t="s">
        <v>23</v>
      </c>
      <c r="D24" s="58" t="n">
        <v>0.2</v>
      </c>
      <c r="E24" s="59" t="n">
        <v>46272</v>
      </c>
      <c r="F24" s="60"/>
      <c r="G24" s="27"/>
      <c r="H24" s="27" t="str">
        <f aca="false">IF(OR(ISBLANK(task_start),ISBLANK(task_end)),"",task_end-task_start+1)</f>
        <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row>
    <row r="25" s="29" customFormat="true" ht="21.75" hidden="false" customHeight="true" outlineLevel="0" collapsed="false">
      <c r="A25" s="18"/>
      <c r="B25" s="56" t="s">
        <v>32</v>
      </c>
      <c r="C25" s="57" t="s">
        <v>33</v>
      </c>
      <c r="D25" s="58" t="n">
        <v>1</v>
      </c>
      <c r="E25" s="59" t="n">
        <v>46275</v>
      </c>
      <c r="F25" s="60" t="n">
        <v>46278</v>
      </c>
      <c r="G25" s="27"/>
      <c r="H25" s="27" t="n">
        <f aca="false">IF(OR(ISBLANK(task_start),ISBLANK(task_end)),"",task_end-task_start+1)</f>
        <v>4</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row>
    <row r="26" s="29" customFormat="true" ht="21.75" hidden="false" customHeight="true" outlineLevel="0" collapsed="false">
      <c r="A26" s="18"/>
      <c r="B26" s="56"/>
      <c r="C26" s="57"/>
      <c r="D26" s="58"/>
      <c r="E26" s="59"/>
      <c r="F26" s="60"/>
      <c r="G26" s="27"/>
      <c r="H26" s="27" t="str">
        <f aca="false">IF(OR(ISBLANK(task_start),ISBLANK(task_end)),"",task_end-task_start+1)</f>
        <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row>
    <row r="27" s="29" customFormat="true" ht="21.75" hidden="false" customHeight="true" outlineLevel="0" collapsed="false">
      <c r="A27" s="18"/>
      <c r="B27" s="62"/>
      <c r="C27" s="63"/>
      <c r="D27" s="64"/>
      <c r="E27" s="65"/>
      <c r="F27" s="66"/>
      <c r="G27" s="27"/>
      <c r="H27" s="27" t="str">
        <f aca="false">IF(OR(ISBLANK(task_start),ISBLANK(task_end)),"",task_end-task_start+1)</f>
        <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row>
    <row r="28" s="29" customFormat="true" ht="21.75" hidden="false" customHeight="true" outlineLevel="0" collapsed="false">
      <c r="A28" s="18"/>
      <c r="B28" s="67"/>
      <c r="C28" s="68"/>
      <c r="D28" s="69"/>
      <c r="E28" s="70"/>
      <c r="F28" s="71"/>
      <c r="G28" s="27"/>
      <c r="H28" s="27" t="str">
        <f aca="false">IF(OR(ISBLANK(task_start),ISBLANK(task_end)),"",task_end-task_start+1)</f>
        <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row>
    <row r="29" s="29" customFormat="true" ht="21.75" hidden="false" customHeight="true" outlineLevel="0" collapsed="false">
      <c r="A29" s="18"/>
      <c r="B29" s="67"/>
      <c r="C29" s="68"/>
      <c r="D29" s="69"/>
      <c r="E29" s="70"/>
      <c r="F29" s="71"/>
      <c r="G29" s="27"/>
      <c r="H29" s="27" t="str">
        <f aca="false">IF(OR(ISBLANK(task_start),ISBLANK(task_end)),"",task_end-task_start+1)</f>
        <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row>
    <row r="30" s="29" customFormat="true" ht="21.75" hidden="false" customHeight="true" outlineLevel="0" collapsed="false">
      <c r="A30" s="18"/>
      <c r="B30" s="67"/>
      <c r="C30" s="68"/>
      <c r="D30" s="69"/>
      <c r="E30" s="70"/>
      <c r="F30" s="71"/>
      <c r="G30" s="27"/>
      <c r="H30" s="27" t="str">
        <f aca="false">IF(OR(ISBLANK(task_start),ISBLANK(task_end)),"",task_end-task_start+1)</f>
        <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row>
    <row r="31" s="29" customFormat="true" ht="21.75" hidden="false" customHeight="true" outlineLevel="0" collapsed="false">
      <c r="A31" s="18"/>
      <c r="B31" s="67"/>
      <c r="C31" s="68"/>
      <c r="D31" s="69"/>
      <c r="E31" s="70"/>
      <c r="F31" s="71"/>
      <c r="G31" s="27"/>
      <c r="H31" s="27" t="str">
        <f aca="false">IF(OR(ISBLANK(task_start),ISBLANK(task_end)),"",task_end-task_start+1)</f>
        <v/>
      </c>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row>
    <row r="32" s="29" customFormat="true" ht="21.75" hidden="false" customHeight="true" outlineLevel="0" collapsed="false">
      <c r="A32" s="18"/>
      <c r="B32" s="67"/>
      <c r="C32" s="68"/>
      <c r="D32" s="69"/>
      <c r="E32" s="70"/>
      <c r="F32" s="71"/>
      <c r="G32" s="27"/>
      <c r="H32" s="27" t="str">
        <f aca="false">IF(OR(ISBLANK(task_start),ISBLANK(task_end)),"",task_end-task_start+1)</f>
        <v/>
      </c>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row>
    <row r="33" s="29" customFormat="true" ht="21.75" hidden="false" customHeight="true" outlineLevel="0" collapsed="false">
      <c r="A33" s="18"/>
      <c r="B33" s="72"/>
      <c r="C33" s="73"/>
      <c r="D33" s="74"/>
      <c r="E33" s="75"/>
      <c r="F33" s="76"/>
      <c r="G33" s="27"/>
      <c r="H33" s="27" t="str">
        <f aca="false">IF(OR(ISBLANK(task_start),ISBLANK(task_end)),"",task_end-task_start+1)</f>
        <v/>
      </c>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row>
    <row r="34" s="29" customFormat="true" ht="21.75" hidden="false" customHeight="true" outlineLevel="0" collapsed="false">
      <c r="A34" s="18"/>
      <c r="B34" s="77"/>
      <c r="C34" s="78"/>
      <c r="D34" s="79"/>
      <c r="E34" s="80"/>
      <c r="F34" s="81"/>
      <c r="G34" s="27"/>
      <c r="H34" s="27" t="str">
        <f aca="false">IF(OR(ISBLANK(task_start),ISBLANK(task_end)),"",task_end-task_start+1)</f>
        <v/>
      </c>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row>
    <row r="35" s="29" customFormat="true" ht="21.75" hidden="false" customHeight="true" outlineLevel="0" collapsed="false">
      <c r="A35" s="18"/>
      <c r="B35" s="77"/>
      <c r="C35" s="78"/>
      <c r="D35" s="79"/>
      <c r="E35" s="80"/>
      <c r="F35" s="81"/>
      <c r="G35" s="27"/>
      <c r="H35" s="27" t="str">
        <f aca="false">IF(OR(ISBLANK(task_start),ISBLANK(task_end)),"",task_end-task_start+1)</f>
        <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row>
    <row r="36" s="29" customFormat="true" ht="21.75" hidden="false" customHeight="true" outlineLevel="0" collapsed="false">
      <c r="A36" s="18"/>
      <c r="B36" s="77"/>
      <c r="C36" s="78"/>
      <c r="D36" s="79"/>
      <c r="E36" s="80"/>
      <c r="F36" s="81"/>
      <c r="G36" s="27"/>
      <c r="H36" s="27" t="str">
        <f aca="false">IF(OR(ISBLANK(task_start),ISBLANK(task_end)),"",task_end-task_start+1)</f>
        <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row>
    <row r="37" s="29" customFormat="true" ht="21.75" hidden="false" customHeight="true" outlineLevel="0" collapsed="false">
      <c r="A37" s="18"/>
      <c r="B37" s="77"/>
      <c r="C37" s="78"/>
      <c r="D37" s="79"/>
      <c r="E37" s="80"/>
      <c r="F37" s="81"/>
      <c r="G37" s="27"/>
      <c r="H37" s="27" t="str">
        <f aca="false">IF(OR(ISBLANK(task_start),ISBLANK(task_end)),"",task_end-task_start+1)</f>
        <v/>
      </c>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row>
    <row r="38" s="29" customFormat="true" ht="21.75" hidden="false" customHeight="true" outlineLevel="0" collapsed="false">
      <c r="A38" s="18"/>
      <c r="B38" s="77"/>
      <c r="C38" s="78"/>
      <c r="D38" s="79"/>
      <c r="E38" s="80"/>
      <c r="F38" s="81"/>
      <c r="G38" s="27"/>
      <c r="H38" s="27" t="str">
        <f aca="false">IF(OR(ISBLANK(task_start),ISBLANK(task_end)),"",task_end-task_start+1)</f>
        <v/>
      </c>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row>
    <row r="39" s="29" customFormat="true" ht="21.75" hidden="false" customHeight="true" outlineLevel="0" collapsed="false">
      <c r="A39" s="18"/>
      <c r="B39" s="22"/>
      <c r="C39" s="23"/>
      <c r="D39" s="24"/>
      <c r="E39" s="25"/>
      <c r="F39" s="26"/>
      <c r="G39" s="27"/>
      <c r="H39" s="27" t="str">
        <f aca="false">IF(OR(ISBLANK(task_start),ISBLANK(task_end)),"",task_end-task_start+1)</f>
        <v/>
      </c>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row>
    <row r="40" s="29" customFormat="true" ht="21.75" hidden="false" customHeight="true" outlineLevel="0" collapsed="false">
      <c r="A40" s="18"/>
      <c r="B40" s="22"/>
      <c r="C40" s="23"/>
      <c r="D40" s="24"/>
      <c r="E40" s="25"/>
      <c r="F40" s="26"/>
      <c r="G40" s="27"/>
      <c r="H40" s="27" t="str">
        <f aca="false">IF(OR(ISBLANK(task_start),ISBLANK(task_end)),"",task_end-task_start+1)</f>
        <v/>
      </c>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row>
    <row r="41" s="29" customFormat="true" ht="21.75" hidden="false" customHeight="true" outlineLevel="0" collapsed="false">
      <c r="A41" s="18"/>
      <c r="B41" s="22"/>
      <c r="C41" s="23"/>
      <c r="D41" s="24"/>
      <c r="E41" s="25"/>
      <c r="F41" s="26"/>
      <c r="G41" s="27"/>
      <c r="H41" s="27" t="str">
        <f aca="false">IF(OR(ISBLANK(task_start),ISBLANK(task_end)),"",task_end-task_start+1)</f>
        <v/>
      </c>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row>
    <row r="42" s="29" customFormat="true" ht="21.75" hidden="false" customHeight="true" outlineLevel="0" collapsed="false">
      <c r="A42" s="18"/>
      <c r="B42" s="82" t="s">
        <v>34</v>
      </c>
      <c r="C42" s="83"/>
      <c r="D42" s="84"/>
      <c r="E42" s="85"/>
      <c r="F42" s="86"/>
      <c r="G42" s="87"/>
      <c r="H42" s="87" t="str">
        <f aca="false">IF(OR(ISBLANK(task_start),ISBLANK(task_end)),"",task_end-task_start+1)</f>
        <v/>
      </c>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row>
    <row r="43" customFormat="false" ht="14.25" hidden="false" customHeight="true" outlineLevel="0" collapsed="false">
      <c r="A43" s="11"/>
      <c r="G43" s="11"/>
    </row>
    <row r="44" customFormat="false" ht="14.25" hidden="false" customHeight="true" outlineLevel="0" collapsed="false">
      <c r="B44" s="89" t="s">
        <v>35</v>
      </c>
      <c r="C44" s="89"/>
      <c r="F44" s="90" t="n">
        <v>43113</v>
      </c>
    </row>
    <row r="45" customFormat="false" ht="14.25" hidden="false" customHeight="true" outlineLevel="0" collapsed="false">
      <c r="B45" s="91" t="s">
        <v>36</v>
      </c>
      <c r="C45" s="92"/>
    </row>
    <row r="46" customFormat="false" ht="14.25" hidden="false" customHeight="true" outlineLevel="0" collapsed="false">
      <c r="B46" s="91" t="s">
        <v>37</v>
      </c>
    </row>
  </sheetData>
  <mergeCells count="11">
    <mergeCell ref="J1:AA1"/>
    <mergeCell ref="E2:F2"/>
    <mergeCell ref="E3:F3"/>
    <mergeCell ref="I4:O4"/>
    <mergeCell ref="P4:V4"/>
    <mergeCell ref="W4:AC4"/>
    <mergeCell ref="AD4:AJ4"/>
    <mergeCell ref="AK4:AQ4"/>
    <mergeCell ref="AR4:AX4"/>
    <mergeCell ref="AY4:BE4"/>
    <mergeCell ref="BF4:BL4"/>
  </mergeCells>
  <conditionalFormatting sqref="D7:D42">
    <cfRule type="dataBar" priority="2">
      <dataBar showValue="1" minLength="10" maxLength="90">
        <cfvo type="num" val="0"/>
        <cfvo type="num" val="1"/>
        <color rgb="FFBFBFBF"/>
      </dataBar>
      <extLst>
        <ext xmlns:x14="http://schemas.microsoft.com/office/spreadsheetml/2009/9/main" uri="{B025F937-C7B1-47D3-B67F-A62EFF666E3E}">
          <x14:id>{7AB2255D-8048-4CEE-8D69-4390E239DD14}</x14:id>
        </ext>
      </extLst>
    </cfRule>
  </conditionalFormatting>
  <conditionalFormatting sqref="I7:BL42">
    <cfRule type="expression" priority="3" aboveAverage="0" equalAverage="0" bottom="0" percent="0" rank="0" text="" dxfId="0">
      <formula>AND(task_start&lt;=I$5,ROUNDDOWN((task_end-task_start+1)*task_progress,0)+task_start-1&gt;=I$5)</formula>
    </cfRule>
    <cfRule type="expression" priority="4" aboveAverage="0" equalAverage="0" bottom="0" percent="0" rank="0" text="" dxfId="1">
      <formula>AND(task_end&gt;=I$5,task_start&lt;I$5+1)</formula>
    </cfRule>
  </conditionalFormatting>
  <conditionalFormatting sqref="I5:BL42">
    <cfRule type="expression" priority="5" aboveAverage="0" equalAverage="0" bottom="0" percent="0" rank="0" text="" dxfId="2">
      <formula>AND(today&gt;=I$5,today&lt;I$5+1)</formula>
    </cfRule>
  </conditionalFormatting>
  <dataValidations count="1">
    <dataValidation allowBlank="true" errorStyle="stop" operator="greaterThanOrEqual" prompt="Changing this number will scroll the Gantt Chart view." promptTitle="Display Week" showDropDown="false" showErrorMessage="false" showInputMessage="true" sqref="E4" type="whole">
      <formula1>1</formula1>
      <formula2>0</formula2>
    </dataValidation>
  </dataValidations>
  <hyperlinks>
    <hyperlink ref="B44" r:id="rId2" display="SIMPLE GANTT CHART by Vertex42.com"/>
    <hyperlink ref="B45" r:id="rId3" display="https://www.vertex42.com/ExcelTemplates/simple-gantt-chart.html"/>
  </hyperlinks>
  <printOptions headings="false" gridLines="false" gridLinesSet="true" horizontalCentered="false" verticalCentered="false"/>
  <pageMargins left="0.35" right="0.35" top="0.3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4"/>
  <extLst>
    <ext xmlns:x14="http://schemas.microsoft.com/office/spreadsheetml/2009/9/main" uri="{78C0D931-6437-407d-A8EE-F0AAD7539E65}">
      <x14:conditionalFormattings>
        <x14:conditionalFormatting xmlns:xm="http://schemas.microsoft.com/office/excel/2006/main">
          <x14:cfRule type="dataBar" id="{7AB2255D-8048-4CEE-8D69-4390E239DD14}">
            <x14:dataBar minLength="10" maxLength="90" axisPosition="none" gradient="true">
              <x14:cfvo type="num">
                <xm:f>0</xm:f>
              </x14:cfvo>
              <x14:cfvo type="num">
                <xm:f>1</xm:f>
              </x14:cfvo>
              <x14:negativeFillColor rgb="FFBFBFBF"/>
              <x14:axisColor rgb="FF000000"/>
            </x14:dataBar>
          </x14:cfRule>
          <xm:sqref>D7:D42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9375" defaultRowHeight="12.75" zeroHeight="false" outlineLevelRow="0" outlineLevelCol="0"/>
  <cols>
    <col collapsed="false" customWidth="true" hidden="false" outlineLevel="0" max="1" min="1" style="5" width="2.91"/>
    <col collapsed="false" customWidth="true" hidden="false" outlineLevel="0" max="2" min="2" style="93" width="87.09"/>
    <col collapsed="false" customWidth="false" hidden="false" outlineLevel="0" max="16384" min="3" style="5" width="9.09"/>
  </cols>
  <sheetData>
    <row r="1" customFormat="false" ht="46.5" hidden="false" customHeight="true" outlineLevel="0" collapsed="false"/>
    <row r="2" s="94" customFormat="true" ht="15.75" hidden="false" customHeight="true" outlineLevel="0" collapsed="false">
      <c r="B2" s="95" t="s">
        <v>35</v>
      </c>
      <c r="C2" s="95"/>
    </row>
    <row r="3" s="96" customFormat="true" ht="13.5" hidden="false" customHeight="true" outlineLevel="0" collapsed="false">
      <c r="B3" s="97" t="s">
        <v>36</v>
      </c>
      <c r="C3" s="97"/>
    </row>
    <row r="4" customFormat="false" ht="12.75" hidden="false" customHeight="true" outlineLevel="0" collapsed="false">
      <c r="B4" s="98" t="s">
        <v>37</v>
      </c>
    </row>
    <row r="6" s="99" customFormat="true" ht="26.25" hidden="false" customHeight="true" outlineLevel="0" collapsed="false">
      <c r="B6" s="100" t="s">
        <v>38</v>
      </c>
    </row>
    <row r="7" customFormat="false" ht="60" hidden="false" customHeight="true" outlineLevel="0" collapsed="false">
      <c r="B7" s="101" t="s">
        <v>39</v>
      </c>
    </row>
    <row r="8" customFormat="false" ht="15" hidden="false" customHeight="true" outlineLevel="0" collapsed="false">
      <c r="B8" s="102"/>
    </row>
    <row r="9" s="99" customFormat="true" ht="26.25" hidden="false" customHeight="true" outlineLevel="0" collapsed="false">
      <c r="B9" s="100" t="s">
        <v>40</v>
      </c>
    </row>
    <row r="10" customFormat="false" ht="60" hidden="false" customHeight="true" outlineLevel="0" collapsed="false">
      <c r="B10" s="101" t="s">
        <v>41</v>
      </c>
    </row>
    <row r="11" customFormat="false" ht="14.25" hidden="false" customHeight="true" outlineLevel="0" collapsed="false">
      <c r="B11" s="103" t="s">
        <v>42</v>
      </c>
    </row>
    <row r="12" customFormat="false" ht="15" hidden="false" customHeight="true" outlineLevel="0" collapsed="false">
      <c r="B12" s="102"/>
    </row>
    <row r="13" customFormat="false" ht="14.25" hidden="false" customHeight="true" outlineLevel="0" collapsed="false">
      <c r="B13" s="103" t="str">
        <f aca="false">HYPERLINK("https://vertex42.link/HowToMakeAGanttChart","► Watch How This Gantt Chart Was Created")</f>
        <v>► Watch How This Gantt Chart Was Created</v>
      </c>
    </row>
    <row r="14" customFormat="false" ht="15" hidden="false" customHeight="true" outlineLevel="0" collapsed="false">
      <c r="B14" s="102"/>
    </row>
    <row r="15" s="99" customFormat="true" ht="26.25" hidden="false" customHeight="true" outlineLevel="0" collapsed="false">
      <c r="B15" s="100" t="s">
        <v>43</v>
      </c>
    </row>
    <row r="16" customFormat="false" ht="30" hidden="false" customHeight="true" outlineLevel="0" collapsed="false">
      <c r="B16" s="101" t="s">
        <v>44</v>
      </c>
    </row>
    <row r="17" customFormat="false" ht="14.25" hidden="false" customHeight="true" outlineLevel="0" collapsed="false">
      <c r="B17" s="103" t="s">
        <v>45</v>
      </c>
    </row>
    <row r="18" customFormat="false" ht="15" hidden="false" customHeight="true" outlineLevel="0" collapsed="false">
      <c r="B18" s="102"/>
    </row>
    <row r="19" s="99" customFormat="true" ht="26.25" hidden="false" customHeight="true" outlineLevel="0" collapsed="false">
      <c r="B19" s="100" t="s">
        <v>46</v>
      </c>
    </row>
    <row r="20" customFormat="false" ht="60" hidden="false" customHeight="true" outlineLevel="0" collapsed="false">
      <c r="B20" s="101" t="s">
        <v>47</v>
      </c>
    </row>
    <row r="21" customFormat="false" ht="15" hidden="false" customHeight="true" outlineLevel="0" collapsed="false">
      <c r="B21" s="102"/>
    </row>
    <row r="22" customFormat="false" ht="75" hidden="false" customHeight="true" outlineLevel="0" collapsed="false">
      <c r="B22" s="101" t="s">
        <v>48</v>
      </c>
    </row>
  </sheetData>
  <hyperlinks>
    <hyperlink ref="B2" r:id="rId1" display="SIMPLE GANTT CHART by Vertex42.com"/>
    <hyperlink ref="B3" r:id="rId2" display="https://www.vertex42.com/ExcelTemplates/simple-gantt-chart.html"/>
    <hyperlink ref="B11" r:id="rId3" display="How to Use the Simple Gantt Chart"/>
    <hyperlink ref="B17" r:id="rId4" display="Project Management Templates"/>
  </hyperlinks>
  <printOptions headings="false" gridLines="false" gridLinesSet="true" horizontalCentered="false" verticalCentered="false"/>
  <pageMargins left="0.5" right="0.5" top="0.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2017-01-09T18:01:51Z</dcterms:created>
  <dc:creator>Vertex42.com</dc:creator>
  <dc:description>© 2018-2019 Vertex42 LLC. All Rights Reserved.</dc:description>
  <dc:language>en-US</dc:language>
  <cp:lastModifiedBy>deepak</cp:lastModifiedBy>
  <cp:lastPrinted>2019-04-24T14:39:40Z</cp:lastPrinted>
  <dcterms:modified xsi:type="dcterms:W3CDTF">2026-09-13T18:51:58Z</dcterms:modified>
  <cp:revision>0</cp:revision>
  <dc:subject/>
  <dc:title>Simple Gantt Chart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 2019 Vertex42 LLC</vt:lpwstr>
  </property>
  <property fmtid="{D5CDD505-2E9C-101B-9397-08002B2CF9AE}" pid="3" name="Source">
    <vt:lpwstr>https://www.vertex42.com/</vt:lpwstr>
  </property>
  <property fmtid="{D5CDD505-2E9C-101B-9397-08002B2CF9AE}" pid="4" name="Version">
    <vt:lpwstr>1.0.1</vt:lpwstr>
  </property>
</Properties>
</file>